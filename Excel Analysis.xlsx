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3c7ac0368572f51/Desktop/Nafisa/"/>
    </mc:Choice>
  </mc:AlternateContent>
  <xr:revisionPtr revIDLastSave="272" documentId="8_{60017C6B-B9FF-4A30-93FF-5F7EFE9DEBA7}" xr6:coauthVersionLast="47" xr6:coauthVersionMax="47" xr10:uidLastSave="{D43A5A4B-2F1C-44FD-8541-3FC8A14D0571}"/>
  <bookViews>
    <workbookView xWindow="-108" yWindow="-108" windowWidth="23256" windowHeight="12456" firstSheet="1" activeTab="5" xr2:uid="{00000000-000D-0000-FFFF-FFFF00000000}"/>
  </bookViews>
  <sheets>
    <sheet name="Raw_Data" sheetId="1" r:id="rId1"/>
    <sheet name="Clean_Data" sheetId="2" r:id="rId2"/>
    <sheet name="Calculations" sheetId="3" r:id="rId3"/>
    <sheet name="Pivot_Tables" sheetId="4" r:id="rId4"/>
    <sheet name="Sheet4" sheetId="11" r:id="rId5"/>
    <sheet name="Dashboard" sheetId="5" r:id="rId6"/>
  </sheets>
  <definedNames>
    <definedName name="_xlcn.WorksheetConnection_Project2salesdatageneratedbychatgtpt.xlsxSales_Data1" hidden="1">Sales_Data[]</definedName>
    <definedName name="_xlcn.WorksheetConnection_Project2salesdatageneratedbychatgtpt.xlsxTable21" hidden="1">Table2[]</definedName>
    <definedName name="Slicer_Category">#N/A</definedName>
    <definedName name="Slicer_Order_Date_Year">#N/A</definedName>
    <definedName name="Slicer_Region">#N/A</definedName>
  </definedNames>
  <calcPr calcId="191029"/>
  <pivotCaches>
    <pivotCache cacheId="62" r:id="rId7"/>
    <pivotCache cacheId="7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Project 2 sales data generated by chatgtpt.xlsx!Table2"/>
          <x15:modelTable id="Sales_Data" name="Sales_Data" connection="WorksheetConnection_Project 2 sales data generated by chatgtpt.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6" i="3"/>
  <c r="B3" i="3"/>
  <c r="B4" i="3"/>
  <c r="B7"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L12" i="5"/>
  <c r="D12" i="5"/>
  <c r="H12" i="5"/>
  <c r="C12" i="5"/>
  <c r="C7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A1AF83-1012-4405-9015-3CDC53DB97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929D95-D2CE-4DF8-931A-B17E8906A7FD}" name="WorksheetConnection_Project 2 sales data generated by chatgtpt.xlsx!Sales_Data" type="102" refreshedVersion="8" minRefreshableVersion="5">
    <extLst>
      <ext xmlns:x15="http://schemas.microsoft.com/office/spreadsheetml/2010/11/main" uri="{DE250136-89BD-433C-8126-D09CA5730AF9}">
        <x15:connection id="Sales_Data" autoDelete="1">
          <x15:rangePr sourceName="_xlcn.WorksheetConnection_Project2salesdatageneratedbychatgtpt.xlsxSales_Data1"/>
        </x15:connection>
      </ext>
    </extLst>
  </connection>
  <connection id="3" xr16:uid="{E0A047E5-705D-40B3-984F-343276026CDE}" name="WorksheetConnection_Project 2 sales data generated by chatgtpt.xlsx!Table2" type="102" refreshedVersion="8" minRefreshableVersion="5">
    <extLst>
      <ext xmlns:x15="http://schemas.microsoft.com/office/spreadsheetml/2010/11/main" uri="{DE250136-89BD-433C-8126-D09CA5730AF9}">
        <x15:connection id="Table2">
          <x15:rangePr sourceName="_xlcn.WorksheetConnection_Project2salesdatageneratedbychatgtpt.xlsxTable21"/>
        </x15:connection>
      </ext>
    </extLst>
  </connection>
</connections>
</file>

<file path=xl/sharedStrings.xml><?xml version="1.0" encoding="utf-8"?>
<sst xmlns="http://schemas.openxmlformats.org/spreadsheetml/2006/main" count="6074" uniqueCount="942">
  <si>
    <t>Order ID</t>
  </si>
  <si>
    <t>Order Date</t>
  </si>
  <si>
    <t>Customer ID</t>
  </si>
  <si>
    <t>Product</t>
  </si>
  <si>
    <t>Category</t>
  </si>
  <si>
    <t>Quantity</t>
  </si>
  <si>
    <t>Price</t>
  </si>
  <si>
    <t>Revenue</t>
  </si>
  <si>
    <t>Region</t>
  </si>
  <si>
    <t>ORD0001</t>
  </si>
  <si>
    <t>2023-04-21</t>
  </si>
  <si>
    <t>CUST059</t>
  </si>
  <si>
    <t>Bag</t>
  </si>
  <si>
    <t>Accessories</t>
  </si>
  <si>
    <t>Gauteng</t>
  </si>
  <si>
    <t>ORD0002</t>
  </si>
  <si>
    <t>2023-01-24</t>
  </si>
  <si>
    <t>CUST119</t>
  </si>
  <si>
    <t>Jacket</t>
  </si>
  <si>
    <t>Fashion</t>
  </si>
  <si>
    <t>ORD0003</t>
  </si>
  <si>
    <t>2023-08-23</t>
  </si>
  <si>
    <t>CUST113</t>
  </si>
  <si>
    <t>KwaZulu-Natal</t>
  </si>
  <si>
    <t>ORD0004</t>
  </si>
  <si>
    <t>2023-07-04</t>
  </si>
  <si>
    <t>CUST109</t>
  </si>
  <si>
    <t>ORD0005</t>
  </si>
  <si>
    <t>2023-01-02</t>
  </si>
  <si>
    <t>CUST004</t>
  </si>
  <si>
    <t>Shoes</t>
  </si>
  <si>
    <t>Western Cape</t>
  </si>
  <si>
    <t>ORD0006</t>
  </si>
  <si>
    <t>2023-12-10</t>
  </si>
  <si>
    <t>CUST012</t>
  </si>
  <si>
    <t>Watch</t>
  </si>
  <si>
    <t>ORD0007</t>
  </si>
  <si>
    <t>2023-07-26</t>
  </si>
  <si>
    <t>CUST048</t>
  </si>
  <si>
    <t>Table</t>
  </si>
  <si>
    <t>Home</t>
  </si>
  <si>
    <t>ORD0008</t>
  </si>
  <si>
    <t>2023-05-12</t>
  </si>
  <si>
    <t>CUST065</t>
  </si>
  <si>
    <t>ORD0009</t>
  </si>
  <si>
    <t>2023-12-31</t>
  </si>
  <si>
    <t>CUST026</t>
  </si>
  <si>
    <t>Eastern Cape</t>
  </si>
  <si>
    <t>ORD0010</t>
  </si>
  <si>
    <t>2023-01-14</t>
  </si>
  <si>
    <t>CUST036</t>
  </si>
  <si>
    <t>Headphones</t>
  </si>
  <si>
    <t>Electronics</t>
  </si>
  <si>
    <t>ORD0011</t>
  </si>
  <si>
    <t>2023-12-29</t>
  </si>
  <si>
    <t>CUST073</t>
  </si>
  <si>
    <t>ORD0012</t>
  </si>
  <si>
    <t>2023-04-03</t>
  </si>
  <si>
    <t>CUST034</t>
  </si>
  <si>
    <t>Chair</t>
  </si>
  <si>
    <t>ORD0013</t>
  </si>
  <si>
    <t>2023-06-13</t>
  </si>
  <si>
    <t>CUST075</t>
  </si>
  <si>
    <t>ORD0014</t>
  </si>
  <si>
    <t>2023-11-29</t>
  </si>
  <si>
    <t>CUST015</t>
  </si>
  <si>
    <t>ORD0015</t>
  </si>
  <si>
    <t>2023-04-01</t>
  </si>
  <si>
    <t>CUST005</t>
  </si>
  <si>
    <t>ORD0016</t>
  </si>
  <si>
    <t>CUST108</t>
  </si>
  <si>
    <t>ORD0017</t>
  </si>
  <si>
    <t>2023-06-22</t>
  </si>
  <si>
    <t>CUST080</t>
  </si>
  <si>
    <t>ORD0018</t>
  </si>
  <si>
    <t>2023-10-31</t>
  </si>
  <si>
    <t>ORD0019</t>
  </si>
  <si>
    <t>2023-02-04</t>
  </si>
  <si>
    <t>CUST081</t>
  </si>
  <si>
    <t>Phone</t>
  </si>
  <si>
    <t>ORD0020</t>
  </si>
  <si>
    <t>2023-01-08</t>
  </si>
  <si>
    <t>CUST084</t>
  </si>
  <si>
    <t>ORD0021</t>
  </si>
  <si>
    <t>2023-12-11</t>
  </si>
  <si>
    <t>ORD0022</t>
  </si>
  <si>
    <t>2023-11-05</t>
  </si>
  <si>
    <t>CUST098</t>
  </si>
  <si>
    <t>ORD0023</t>
  </si>
  <si>
    <t>2023-04-08</t>
  </si>
  <si>
    <t>CUST038</t>
  </si>
  <si>
    <t>ORD0024</t>
  </si>
  <si>
    <t>2023-03-08</t>
  </si>
  <si>
    <t>CUST120</t>
  </si>
  <si>
    <t>ORD0025</t>
  </si>
  <si>
    <t>2023-08-19</t>
  </si>
  <si>
    <t>CUST099</t>
  </si>
  <si>
    <t>ORD0026</t>
  </si>
  <si>
    <t>2023-09-22</t>
  </si>
  <si>
    <t>CUST093</t>
  </si>
  <si>
    <t>ORD0027</t>
  </si>
  <si>
    <t>2023-05-26</t>
  </si>
  <si>
    <t>CUST008</t>
  </si>
  <si>
    <t>ORD0028</t>
  </si>
  <si>
    <t>2023-08-31</t>
  </si>
  <si>
    <t>CUST104</t>
  </si>
  <si>
    <t>ORD0029</t>
  </si>
  <si>
    <t>2023-01-11</t>
  </si>
  <si>
    <t>ORD0030</t>
  </si>
  <si>
    <t>2023-01-13</t>
  </si>
  <si>
    <t>Laptop</t>
  </si>
  <si>
    <t>ORD0031</t>
  </si>
  <si>
    <t>2023-08-07</t>
  </si>
  <si>
    <t>CUST114</t>
  </si>
  <si>
    <t>ORD0032</t>
  </si>
  <si>
    <t>2023-03-15</t>
  </si>
  <si>
    <t>ORD0033</t>
  </si>
  <si>
    <t>2023-02-17</t>
  </si>
  <si>
    <t>CUST039</t>
  </si>
  <si>
    <t>ORD0034</t>
  </si>
  <si>
    <t>2023-08-08</t>
  </si>
  <si>
    <t>CUST087</t>
  </si>
  <si>
    <t>ORD0035</t>
  </si>
  <si>
    <t>2023-11-15</t>
  </si>
  <si>
    <t>CUST083</t>
  </si>
  <si>
    <t>ORD0036</t>
  </si>
  <si>
    <t>2023-04-30</t>
  </si>
  <si>
    <t>CUST042</t>
  </si>
  <si>
    <t>ORD0037</t>
  </si>
  <si>
    <t>2023-10-30</t>
  </si>
  <si>
    <t>CUST071</t>
  </si>
  <si>
    <t>ORD0038</t>
  </si>
  <si>
    <t>2023-01-26</t>
  </si>
  <si>
    <t>ORD0039</t>
  </si>
  <si>
    <t>2023-08-25</t>
  </si>
  <si>
    <t>CUST072</t>
  </si>
  <si>
    <t>ORD0040</t>
  </si>
  <si>
    <t>2023-07-10</t>
  </si>
  <si>
    <t>ORD0041</t>
  </si>
  <si>
    <t>2023-01-05</t>
  </si>
  <si>
    <t>CUST086</t>
  </si>
  <si>
    <t>ORD0042</t>
  </si>
  <si>
    <t>2023-05-15</t>
  </si>
  <si>
    <t>CUST003</t>
  </si>
  <si>
    <t>ORD0043</t>
  </si>
  <si>
    <t>2023-11-28</t>
  </si>
  <si>
    <t>CUST092</t>
  </si>
  <si>
    <t>ORD0044</t>
  </si>
  <si>
    <t>2023-01-12</t>
  </si>
  <si>
    <t>ORD0045</t>
  </si>
  <si>
    <t>2023-09-30</t>
  </si>
  <si>
    <t>ORD0046</t>
  </si>
  <si>
    <t>2023-10-08</t>
  </si>
  <si>
    <t>CUST078</t>
  </si>
  <si>
    <t>ORD0047</t>
  </si>
  <si>
    <t>2023-05-24</t>
  </si>
  <si>
    <t>CUST051</t>
  </si>
  <si>
    <t>ORD0048</t>
  </si>
  <si>
    <t>2023-05-11</t>
  </si>
  <si>
    <t>CUST035</t>
  </si>
  <si>
    <t>ORD0049</t>
  </si>
  <si>
    <t>2023-05-04</t>
  </si>
  <si>
    <t>ORD0050</t>
  </si>
  <si>
    <t>2023-08-27</t>
  </si>
  <si>
    <t>ORD0051</t>
  </si>
  <si>
    <t>2023-12-04</t>
  </si>
  <si>
    <t>CUST053</t>
  </si>
  <si>
    <t>ORD0052</t>
  </si>
  <si>
    <t>2023-11-09</t>
  </si>
  <si>
    <t>CUST077</t>
  </si>
  <si>
    <t>ORD0053</t>
  </si>
  <si>
    <t>2023-05-22</t>
  </si>
  <si>
    <t>CUST011</t>
  </si>
  <si>
    <t>ORD0054</t>
  </si>
  <si>
    <t>2023-06-20</t>
  </si>
  <si>
    <t>ORD0055</t>
  </si>
  <si>
    <t>2023-06-28</t>
  </si>
  <si>
    <t>CUST076</t>
  </si>
  <si>
    <t>ORD0056</t>
  </si>
  <si>
    <t>2023-12-08</t>
  </si>
  <si>
    <t>CUST009</t>
  </si>
  <si>
    <t>ORD0057</t>
  </si>
  <si>
    <t>2023-03-05</t>
  </si>
  <si>
    <t>CUST043</t>
  </si>
  <si>
    <t>ORD0058</t>
  </si>
  <si>
    <t>2023-07-13</t>
  </si>
  <si>
    <t>CUST074</t>
  </si>
  <si>
    <t>ORD0059</t>
  </si>
  <si>
    <t>2023-09-02</t>
  </si>
  <si>
    <t>CUST014</t>
  </si>
  <si>
    <t>ORD0060</t>
  </si>
  <si>
    <t>2023-05-27</t>
  </si>
  <si>
    <t>CUST019</t>
  </si>
  <si>
    <t>ORD0061</t>
  </si>
  <si>
    <t>2023-08-11</t>
  </si>
  <si>
    <t>ORD0062</t>
  </si>
  <si>
    <t>2023-04-22</t>
  </si>
  <si>
    <t>ORD0063</t>
  </si>
  <si>
    <t>2023-03-18</t>
  </si>
  <si>
    <t>ORD0064</t>
  </si>
  <si>
    <t>2023-09-16</t>
  </si>
  <si>
    <t>CUST033</t>
  </si>
  <si>
    <t>ORD0065</t>
  </si>
  <si>
    <t>CUST021</t>
  </si>
  <si>
    <t>ORD0066</t>
  </si>
  <si>
    <t>2023-04-13</t>
  </si>
  <si>
    <t>ORD0067</t>
  </si>
  <si>
    <t>2023-07-05</t>
  </si>
  <si>
    <t>CUST058</t>
  </si>
  <si>
    <t>ORD0068</t>
  </si>
  <si>
    <t>CUST049</t>
  </si>
  <si>
    <t>ORD0069</t>
  </si>
  <si>
    <t>2023-05-13</t>
  </si>
  <si>
    <t>CUST045</t>
  </si>
  <si>
    <t>ORD0070</t>
  </si>
  <si>
    <t>ORD0071</t>
  </si>
  <si>
    <t>2023-10-10</t>
  </si>
  <si>
    <t>ORD0072</t>
  </si>
  <si>
    <t>2023-05-21</t>
  </si>
  <si>
    <t>CUST107</t>
  </si>
  <si>
    <t>ORD0073</t>
  </si>
  <si>
    <t>2023-11-21</t>
  </si>
  <si>
    <t>ORD0074</t>
  </si>
  <si>
    <t>2023-12-27</t>
  </si>
  <si>
    <t>ORD0075</t>
  </si>
  <si>
    <t>ORD0076</t>
  </si>
  <si>
    <t>CUST063</t>
  </si>
  <si>
    <t>ORD0077</t>
  </si>
  <si>
    <t>CUST031</t>
  </si>
  <si>
    <t>ORD0078</t>
  </si>
  <si>
    <t>2023-08-17</t>
  </si>
  <si>
    <t>CUST027</t>
  </si>
  <si>
    <t>ORD0079</t>
  </si>
  <si>
    <t>2023-12-28</t>
  </si>
  <si>
    <t>ORD0080</t>
  </si>
  <si>
    <t>2023-06-23</t>
  </si>
  <si>
    <t>ORD0081</t>
  </si>
  <si>
    <t>2023-05-29</t>
  </si>
  <si>
    <t>CUST041</t>
  </si>
  <si>
    <t>ORD0082</t>
  </si>
  <si>
    <t>2023-03-23</t>
  </si>
  <si>
    <t>ORD0083</t>
  </si>
  <si>
    <t>ORD0084</t>
  </si>
  <si>
    <t>ORD0085</t>
  </si>
  <si>
    <t>ORD0086</t>
  </si>
  <si>
    <t>2023-02-24</t>
  </si>
  <si>
    <t>CUST037</t>
  </si>
  <si>
    <t>ORD0087</t>
  </si>
  <si>
    <t>2023-03-25</t>
  </si>
  <si>
    <t>CUST082</t>
  </si>
  <si>
    <t>ORD0088</t>
  </si>
  <si>
    <t>2023-09-18</t>
  </si>
  <si>
    <t>ORD0089</t>
  </si>
  <si>
    <t>2023-10-21</t>
  </si>
  <si>
    <t>CUST016</t>
  </si>
  <si>
    <t>ORD0090</t>
  </si>
  <si>
    <t>2023-03-09</t>
  </si>
  <si>
    <t>ORD0091</t>
  </si>
  <si>
    <t>ORD0092</t>
  </si>
  <si>
    <t>2023-05-10</t>
  </si>
  <si>
    <t>CUST095</t>
  </si>
  <si>
    <t>ORD0093</t>
  </si>
  <si>
    <t>2023-10-12</t>
  </si>
  <si>
    <t>ORD0094</t>
  </si>
  <si>
    <t>2023-06-07</t>
  </si>
  <si>
    <t>CUST054</t>
  </si>
  <si>
    <t>ORD0095</t>
  </si>
  <si>
    <t>2023-12-22</t>
  </si>
  <si>
    <t>CUST111</t>
  </si>
  <si>
    <t>ORD0096</t>
  </si>
  <si>
    <t>2023-04-23</t>
  </si>
  <si>
    <t>ORD0097</t>
  </si>
  <si>
    <t>2023-08-09</t>
  </si>
  <si>
    <t>CUST022</t>
  </si>
  <si>
    <t>ORD0098</t>
  </si>
  <si>
    <t>2023-05-17</t>
  </si>
  <si>
    <t>CUST044</t>
  </si>
  <si>
    <t>ORD0099</t>
  </si>
  <si>
    <t>CUST106</t>
  </si>
  <si>
    <t>ORD0100</t>
  </si>
  <si>
    <t>2023-07-29</t>
  </si>
  <si>
    <t>ORD0101</t>
  </si>
  <si>
    <t>2023-06-06</t>
  </si>
  <si>
    <t>CUST089</t>
  </si>
  <si>
    <t>ORD0102</t>
  </si>
  <si>
    <t>ORD0103</t>
  </si>
  <si>
    <t>2023-02-19</t>
  </si>
  <si>
    <t>CUST006</t>
  </si>
  <si>
    <t>ORD0104</t>
  </si>
  <si>
    <t>2023-01-25</t>
  </si>
  <si>
    <t>CUST060</t>
  </si>
  <si>
    <t>ORD0105</t>
  </si>
  <si>
    <t>2023-12-12</t>
  </si>
  <si>
    <t>CUST079</t>
  </si>
  <si>
    <t>ORD0106</t>
  </si>
  <si>
    <t>2023-04-20</t>
  </si>
  <si>
    <t>ORD0107</t>
  </si>
  <si>
    <t>CUST101</t>
  </si>
  <si>
    <t>ORD0108</t>
  </si>
  <si>
    <t>ORD0109</t>
  </si>
  <si>
    <t>2023-07-07</t>
  </si>
  <si>
    <t>ORD0110</t>
  </si>
  <si>
    <t>ORD0111</t>
  </si>
  <si>
    <t>2023-03-26</t>
  </si>
  <si>
    <t>ORD0112</t>
  </si>
  <si>
    <t>2023-07-02</t>
  </si>
  <si>
    <t>ORD0113</t>
  </si>
  <si>
    <t>ORD0114</t>
  </si>
  <si>
    <t>CUST070</t>
  </si>
  <si>
    <t>ORD0115</t>
  </si>
  <si>
    <t>2023-09-10</t>
  </si>
  <si>
    <t>ORD0116</t>
  </si>
  <si>
    <t>2023-07-22</t>
  </si>
  <si>
    <t>CUST097</t>
  </si>
  <si>
    <t>ORD0117</t>
  </si>
  <si>
    <t>2023-04-10</t>
  </si>
  <si>
    <t>CUST056</t>
  </si>
  <si>
    <t>ORD0118</t>
  </si>
  <si>
    <t>2023-03-31</t>
  </si>
  <si>
    <t>CUST024</t>
  </si>
  <si>
    <t>ORD0119</t>
  </si>
  <si>
    <t>2023-04-18</t>
  </si>
  <si>
    <t>ORD0120</t>
  </si>
  <si>
    <t>2023-02-15</t>
  </si>
  <si>
    <t>ORD0121</t>
  </si>
  <si>
    <t>2023-06-15</t>
  </si>
  <si>
    <t>ORD0122</t>
  </si>
  <si>
    <t>2023-12-30</t>
  </si>
  <si>
    <t>ORD0123</t>
  </si>
  <si>
    <t>2023-07-09</t>
  </si>
  <si>
    <t>ORD0124</t>
  </si>
  <si>
    <t>2023-09-03</t>
  </si>
  <si>
    <t>ORD0125</t>
  </si>
  <si>
    <t>ORD0126</t>
  </si>
  <si>
    <t>2023-09-06</t>
  </si>
  <si>
    <t>ORD0127</t>
  </si>
  <si>
    <t>2023-09-20</t>
  </si>
  <si>
    <t>CUST105</t>
  </si>
  <si>
    <t>ORD0128</t>
  </si>
  <si>
    <t>2023-04-29</t>
  </si>
  <si>
    <t>CUST023</t>
  </si>
  <si>
    <t>ORD0129</t>
  </si>
  <si>
    <t>2023-04-28</t>
  </si>
  <si>
    <t>CUST118</t>
  </si>
  <si>
    <t>ORD0130</t>
  </si>
  <si>
    <t>CUST061</t>
  </si>
  <si>
    <t>ORD0131</t>
  </si>
  <si>
    <t>2023-08-30</t>
  </si>
  <si>
    <t>ORD0132</t>
  </si>
  <si>
    <t>2023-04-15</t>
  </si>
  <si>
    <t>ORD0133</t>
  </si>
  <si>
    <t>ORD0134</t>
  </si>
  <si>
    <t>2023-03-10</t>
  </si>
  <si>
    <t>CUST062</t>
  </si>
  <si>
    <t>ORD0135</t>
  </si>
  <si>
    <t>2023-01-19</t>
  </si>
  <si>
    <t>ORD0136</t>
  </si>
  <si>
    <t>2023-06-17</t>
  </si>
  <si>
    <t>CUST057</t>
  </si>
  <si>
    <t>ORD0137</t>
  </si>
  <si>
    <t>2023-09-26</t>
  </si>
  <si>
    <t>CUST117</t>
  </si>
  <si>
    <t>ORD0138</t>
  </si>
  <si>
    <t>ORD0139</t>
  </si>
  <si>
    <t>2023-11-17</t>
  </si>
  <si>
    <t>CUST088</t>
  </si>
  <si>
    <t>ORD0140</t>
  </si>
  <si>
    <t>2023-01-27</t>
  </si>
  <si>
    <t>CUST115</t>
  </si>
  <si>
    <t>ORD0141</t>
  </si>
  <si>
    <t>2023-12-06</t>
  </si>
  <si>
    <t>CUST102</t>
  </si>
  <si>
    <t>ORD0142</t>
  </si>
  <si>
    <t>ORD0143</t>
  </si>
  <si>
    <t>2023-12-18</t>
  </si>
  <si>
    <t>ORD0144</t>
  </si>
  <si>
    <t>ORD0145</t>
  </si>
  <si>
    <t>2023-05-19</t>
  </si>
  <si>
    <t>CUST007</t>
  </si>
  <si>
    <t>ORD0146</t>
  </si>
  <si>
    <t>2023-06-21</t>
  </si>
  <si>
    <t>ORD0147</t>
  </si>
  <si>
    <t>ORD0148</t>
  </si>
  <si>
    <t>ORD0149</t>
  </si>
  <si>
    <t>ORD0150</t>
  </si>
  <si>
    <t>2023-12-19</t>
  </si>
  <si>
    <t>CUST096</t>
  </si>
  <si>
    <t>ORD0151</t>
  </si>
  <si>
    <t>2023-06-24</t>
  </si>
  <si>
    <t>ORD0152</t>
  </si>
  <si>
    <t>2023-09-28</t>
  </si>
  <si>
    <t>ORD0153</t>
  </si>
  <si>
    <t>ORD0154</t>
  </si>
  <si>
    <t>2023-09-17</t>
  </si>
  <si>
    <t>CUST069</t>
  </si>
  <si>
    <t>ORD0155</t>
  </si>
  <si>
    <t>2023-03-28</t>
  </si>
  <si>
    <t>ORD0156</t>
  </si>
  <si>
    <t>ORD0157</t>
  </si>
  <si>
    <t>2023-08-24</t>
  </si>
  <si>
    <t>ORD0158</t>
  </si>
  <si>
    <t>ORD0159</t>
  </si>
  <si>
    <t>2023-09-11</t>
  </si>
  <si>
    <t>CUST112</t>
  </si>
  <si>
    <t>ORD0160</t>
  </si>
  <si>
    <t>2023-10-26</t>
  </si>
  <si>
    <t>ORD0161</t>
  </si>
  <si>
    <t>ORD0162</t>
  </si>
  <si>
    <t>CUST040</t>
  </si>
  <si>
    <t>ORD0163</t>
  </si>
  <si>
    <t>ORD0164</t>
  </si>
  <si>
    <t>CUST013</t>
  </si>
  <si>
    <t>ORD0165</t>
  </si>
  <si>
    <t>2023-09-07</t>
  </si>
  <si>
    <t>CUST085</t>
  </si>
  <si>
    <t>ORD0166</t>
  </si>
  <si>
    <t>2023-11-26</t>
  </si>
  <si>
    <t>ORD0167</t>
  </si>
  <si>
    <t>2023-02-14</t>
  </si>
  <si>
    <t>ORD0168</t>
  </si>
  <si>
    <t>ORD0169</t>
  </si>
  <si>
    <t>ORD0170</t>
  </si>
  <si>
    <t>CUST050</t>
  </si>
  <si>
    <t>ORD0171</t>
  </si>
  <si>
    <t>2023-09-08</t>
  </si>
  <si>
    <t>ORD0172</t>
  </si>
  <si>
    <t>2023-08-28</t>
  </si>
  <si>
    <t>ORD0173</t>
  </si>
  <si>
    <t>2023-04-06</t>
  </si>
  <si>
    <t>CUST116</t>
  </si>
  <si>
    <t>ORD0174</t>
  </si>
  <si>
    <t>2023-11-02</t>
  </si>
  <si>
    <t>ORD0175</t>
  </si>
  <si>
    <t>2023-09-13</t>
  </si>
  <si>
    <t>ORD0176</t>
  </si>
  <si>
    <t>ORD0177</t>
  </si>
  <si>
    <t>2023-02-18</t>
  </si>
  <si>
    <t>ORD0178</t>
  </si>
  <si>
    <t>2023-06-08</t>
  </si>
  <si>
    <t>ORD0179</t>
  </si>
  <si>
    <t>2023-08-03</t>
  </si>
  <si>
    <t>ORD0180</t>
  </si>
  <si>
    <t>ORD0181</t>
  </si>
  <si>
    <t>2023-01-30</t>
  </si>
  <si>
    <t>ORD0182</t>
  </si>
  <si>
    <t>ORD0183</t>
  </si>
  <si>
    <t>2023-03-16</t>
  </si>
  <si>
    <t>ORD0184</t>
  </si>
  <si>
    <t>2023-09-27</t>
  </si>
  <si>
    <t>CUST091</t>
  </si>
  <si>
    <t>ORD0185</t>
  </si>
  <si>
    <t>ORD0186</t>
  </si>
  <si>
    <t>2023-10-28</t>
  </si>
  <si>
    <t>ORD0187</t>
  </si>
  <si>
    <t>ORD0188</t>
  </si>
  <si>
    <t>2023-12-07</t>
  </si>
  <si>
    <t>CUST066</t>
  </si>
  <si>
    <t>ORD0189</t>
  </si>
  <si>
    <t>2023-05-31</t>
  </si>
  <si>
    <t>ORD0190</t>
  </si>
  <si>
    <t>2023-01-07</t>
  </si>
  <si>
    <t>ORD0191</t>
  </si>
  <si>
    <t>2023-08-05</t>
  </si>
  <si>
    <t>ORD0192</t>
  </si>
  <si>
    <t>2023-01-31</t>
  </si>
  <si>
    <t>ORD0193</t>
  </si>
  <si>
    <t>2023-04-07</t>
  </si>
  <si>
    <t>CUST064</t>
  </si>
  <si>
    <t>ORD0194</t>
  </si>
  <si>
    <t>ORD0195</t>
  </si>
  <si>
    <t>2023-05-07</t>
  </si>
  <si>
    <t>ORD0196</t>
  </si>
  <si>
    <t>2023-10-29</t>
  </si>
  <si>
    <t>ORD0197</t>
  </si>
  <si>
    <t>2023-11-12</t>
  </si>
  <si>
    <t>ORD0198</t>
  </si>
  <si>
    <t>ORD0199</t>
  </si>
  <si>
    <t>ORD0200</t>
  </si>
  <si>
    <t>ORD0201</t>
  </si>
  <si>
    <t>2023-02-25</t>
  </si>
  <si>
    <t>CUST103</t>
  </si>
  <si>
    <t>ORD0202</t>
  </si>
  <si>
    <t>2023-10-01</t>
  </si>
  <si>
    <t>ORD0203</t>
  </si>
  <si>
    <t>ORD0204</t>
  </si>
  <si>
    <t>2023-10-11</t>
  </si>
  <si>
    <t>ORD0205</t>
  </si>
  <si>
    <t>2023-04-24</t>
  </si>
  <si>
    <t>ORD0206</t>
  </si>
  <si>
    <t>2023-10-18</t>
  </si>
  <si>
    <t>ORD0207</t>
  </si>
  <si>
    <t>2024-01-01</t>
  </si>
  <si>
    <t>ORD0208</t>
  </si>
  <si>
    <t>2023-05-06</t>
  </si>
  <si>
    <t>CUST110</t>
  </si>
  <si>
    <t>ORD0209</t>
  </si>
  <si>
    <t>CUST018</t>
  </si>
  <si>
    <t>ORD0210</t>
  </si>
  <si>
    <t>CUST052</t>
  </si>
  <si>
    <t>ORD0211</t>
  </si>
  <si>
    <t>ORD0212</t>
  </si>
  <si>
    <t>ORD0213</t>
  </si>
  <si>
    <t>2023-07-18</t>
  </si>
  <si>
    <t>ORD0214</t>
  </si>
  <si>
    <t>ORD0215</t>
  </si>
  <si>
    <t>2023-06-02</t>
  </si>
  <si>
    <t>ORD0216</t>
  </si>
  <si>
    <t>ORD0217</t>
  </si>
  <si>
    <t>ORD0218</t>
  </si>
  <si>
    <t>2023-09-09</t>
  </si>
  <si>
    <t>ORD0219</t>
  </si>
  <si>
    <t>2023-07-01</t>
  </si>
  <si>
    <t>ORD0220</t>
  </si>
  <si>
    <t>2023-01-04</t>
  </si>
  <si>
    <t>ORD0221</t>
  </si>
  <si>
    <t>2023-10-02</t>
  </si>
  <si>
    <t>ORD0222</t>
  </si>
  <si>
    <t>ORD0223</t>
  </si>
  <si>
    <t>ORD0224</t>
  </si>
  <si>
    <t>ORD0225</t>
  </si>
  <si>
    <t>ORD0226</t>
  </si>
  <si>
    <t>ORD0227</t>
  </si>
  <si>
    <t>2023-03-13</t>
  </si>
  <si>
    <t>ORD0228</t>
  </si>
  <si>
    <t>2023-02-03</t>
  </si>
  <si>
    <t>ORD0229</t>
  </si>
  <si>
    <t>2023-06-30</t>
  </si>
  <si>
    <t>ORD0230</t>
  </si>
  <si>
    <t>ORD0231</t>
  </si>
  <si>
    <t>CUST046</t>
  </si>
  <si>
    <t>ORD0232</t>
  </si>
  <si>
    <t>ORD0233</t>
  </si>
  <si>
    <t>ORD0234</t>
  </si>
  <si>
    <t>ORD0235</t>
  </si>
  <si>
    <t>2023-07-11</t>
  </si>
  <si>
    <t>ORD0236</t>
  </si>
  <si>
    <t>2023-05-05</t>
  </si>
  <si>
    <t>ORD0237</t>
  </si>
  <si>
    <t>CUST029</t>
  </si>
  <si>
    <t>ORD0238</t>
  </si>
  <si>
    <t>2023-02-10</t>
  </si>
  <si>
    <t>CUST028</t>
  </si>
  <si>
    <t>ORD0239</t>
  </si>
  <si>
    <t>ORD0240</t>
  </si>
  <si>
    <t>2023-03-30</t>
  </si>
  <si>
    <t>ORD0241</t>
  </si>
  <si>
    <t>ORD0242</t>
  </si>
  <si>
    <t>ORD0243</t>
  </si>
  <si>
    <t>CUST047</t>
  </si>
  <si>
    <t>ORD0244</t>
  </si>
  <si>
    <t>ORD0245</t>
  </si>
  <si>
    <t>ORD0246</t>
  </si>
  <si>
    <t>ORD0247</t>
  </si>
  <si>
    <t>2023-10-16</t>
  </si>
  <si>
    <t>ORD0248</t>
  </si>
  <si>
    <t>CUST032</t>
  </si>
  <si>
    <t>ORD0249</t>
  </si>
  <si>
    <t>2023-02-27</t>
  </si>
  <si>
    <t>ORD0250</t>
  </si>
  <si>
    <t>ORD0251</t>
  </si>
  <si>
    <t>2023-04-05</t>
  </si>
  <si>
    <t>ORD0252</t>
  </si>
  <si>
    <t>ORD0253</t>
  </si>
  <si>
    <t>2023-11-19</t>
  </si>
  <si>
    <t>ORD0254</t>
  </si>
  <si>
    <t>ORD0255</t>
  </si>
  <si>
    <t>ORD0256</t>
  </si>
  <si>
    <t>ORD0257</t>
  </si>
  <si>
    <t>ORD0258</t>
  </si>
  <si>
    <t>ORD0259</t>
  </si>
  <si>
    <t>ORD0260</t>
  </si>
  <si>
    <t>ORD0261</t>
  </si>
  <si>
    <t>ORD0262</t>
  </si>
  <si>
    <t>2023-05-01</t>
  </si>
  <si>
    <t>ORD0263</t>
  </si>
  <si>
    <t>ORD0264</t>
  </si>
  <si>
    <t>ORD0265</t>
  </si>
  <si>
    <t>ORD0266</t>
  </si>
  <si>
    <t>ORD0267</t>
  </si>
  <si>
    <t>ORD0268</t>
  </si>
  <si>
    <t>ORD0269</t>
  </si>
  <si>
    <t>CUST002</t>
  </si>
  <si>
    <t>ORD0270</t>
  </si>
  <si>
    <t>2023-03-14</t>
  </si>
  <si>
    <t>ORD0271</t>
  </si>
  <si>
    <t>2023-02-09</t>
  </si>
  <si>
    <t>ORD0272</t>
  </si>
  <si>
    <t>2023-07-28</t>
  </si>
  <si>
    <t>ORD0273</t>
  </si>
  <si>
    <t>ORD0274</t>
  </si>
  <si>
    <t>2023-07-08</t>
  </si>
  <si>
    <t>CUST030</t>
  </si>
  <si>
    <t>ORD0275</t>
  </si>
  <si>
    <t>ORD0276</t>
  </si>
  <si>
    <t>2023-03-03</t>
  </si>
  <si>
    <t>ORD0277</t>
  </si>
  <si>
    <t>ORD0278</t>
  </si>
  <si>
    <t>2023-03-04</t>
  </si>
  <si>
    <t>ORD0279</t>
  </si>
  <si>
    <t>2023-04-27</t>
  </si>
  <si>
    <t>ORD0280</t>
  </si>
  <si>
    <t>2023-11-08</t>
  </si>
  <si>
    <t>ORD0281</t>
  </si>
  <si>
    <t>2023-12-26</t>
  </si>
  <si>
    <t>ORD0282</t>
  </si>
  <si>
    <t>ORD0283</t>
  </si>
  <si>
    <t>ORD0284</t>
  </si>
  <si>
    <t>2023-01-28</t>
  </si>
  <si>
    <t>ORD0285</t>
  </si>
  <si>
    <t>ORD0286</t>
  </si>
  <si>
    <t>ORD0287</t>
  </si>
  <si>
    <t>2023-07-23</t>
  </si>
  <si>
    <t>ORD0288</t>
  </si>
  <si>
    <t>ORD0289</t>
  </si>
  <si>
    <t>CUST067</t>
  </si>
  <si>
    <t>ORD0290</t>
  </si>
  <si>
    <t>2023-10-03</t>
  </si>
  <si>
    <t>ORD0291</t>
  </si>
  <si>
    <t>2023-10-20</t>
  </si>
  <si>
    <t>ORD0292</t>
  </si>
  <si>
    <t>2023-02-23</t>
  </si>
  <si>
    <t>ORD0293</t>
  </si>
  <si>
    <t>2023-06-11</t>
  </si>
  <si>
    <t>ORD0294</t>
  </si>
  <si>
    <t>2023-02-07</t>
  </si>
  <si>
    <t>ORD0295</t>
  </si>
  <si>
    <t>2023-01-09</t>
  </si>
  <si>
    <t>ORD0296</t>
  </si>
  <si>
    <t>2023-06-05</t>
  </si>
  <si>
    <t>ORD0297</t>
  </si>
  <si>
    <t>2023-05-28</t>
  </si>
  <si>
    <t>ORD0298</t>
  </si>
  <si>
    <t>ORD0299</t>
  </si>
  <si>
    <t>2023-06-19</t>
  </si>
  <si>
    <t>ORD0300</t>
  </si>
  <si>
    <t>2023-03-20</t>
  </si>
  <si>
    <t>ORD0301</t>
  </si>
  <si>
    <t>2023-11-27</t>
  </si>
  <si>
    <t>CUST001</t>
  </si>
  <si>
    <t>ORD0302</t>
  </si>
  <si>
    <t>2023-04-02</t>
  </si>
  <si>
    <t>ORD0303</t>
  </si>
  <si>
    <t>2023-12-09</t>
  </si>
  <si>
    <t>ORD0304</t>
  </si>
  <si>
    <t>ORD0305</t>
  </si>
  <si>
    <t>2023-08-06</t>
  </si>
  <si>
    <t>ORD0306</t>
  </si>
  <si>
    <t>2023-01-17</t>
  </si>
  <si>
    <t>ORD0307</t>
  </si>
  <si>
    <t>ORD0308</t>
  </si>
  <si>
    <t>2023-06-10</t>
  </si>
  <si>
    <t>ORD0309</t>
  </si>
  <si>
    <t>2023-09-14</t>
  </si>
  <si>
    <t>ORD0310</t>
  </si>
  <si>
    <t>2023-06-01</t>
  </si>
  <si>
    <t>ORD0311</t>
  </si>
  <si>
    <t>2023-02-05</t>
  </si>
  <si>
    <t>ORD0312</t>
  </si>
  <si>
    <t>ORD0313</t>
  </si>
  <si>
    <t>ORD0314</t>
  </si>
  <si>
    <t>ORD0315</t>
  </si>
  <si>
    <t>ORD0316</t>
  </si>
  <si>
    <t>ORD0317</t>
  </si>
  <si>
    <t>ORD0318</t>
  </si>
  <si>
    <t>ORD0319</t>
  </si>
  <si>
    <t>2023-04-09</t>
  </si>
  <si>
    <t>ORD0320</t>
  </si>
  <si>
    <t>ORD0321</t>
  </si>
  <si>
    <t>ORD0322</t>
  </si>
  <si>
    <t>ORD0323</t>
  </si>
  <si>
    <t>2023-02-22</t>
  </si>
  <si>
    <t>ORD0324</t>
  </si>
  <si>
    <t>ORD0325</t>
  </si>
  <si>
    <t>CUST010</t>
  </si>
  <si>
    <t>ORD0326</t>
  </si>
  <si>
    <t>ORD0327</t>
  </si>
  <si>
    <t>ORD0328</t>
  </si>
  <si>
    <t>2023-05-20</t>
  </si>
  <si>
    <t>ORD0329</t>
  </si>
  <si>
    <t>CUST094</t>
  </si>
  <si>
    <t>ORD0330</t>
  </si>
  <si>
    <t>ORD0331</t>
  </si>
  <si>
    <t>2023-09-05</t>
  </si>
  <si>
    <t>ORD0332</t>
  </si>
  <si>
    <t>ORD0333</t>
  </si>
  <si>
    <t>ORD0334</t>
  </si>
  <si>
    <t>ORD0335</t>
  </si>
  <si>
    <t>ORD0336</t>
  </si>
  <si>
    <t>CUST055</t>
  </si>
  <si>
    <t>ORD0337</t>
  </si>
  <si>
    <t>2023-11-30</t>
  </si>
  <si>
    <t>ORD0338</t>
  </si>
  <si>
    <t>ORD0339</t>
  </si>
  <si>
    <t>ORD0340</t>
  </si>
  <si>
    <t>ORD0341</t>
  </si>
  <si>
    <t>ORD0342</t>
  </si>
  <si>
    <t>2023-11-07</t>
  </si>
  <si>
    <t>ORD0343</t>
  </si>
  <si>
    <t>ORD0344</t>
  </si>
  <si>
    <t>ORD0345</t>
  </si>
  <si>
    <t>ORD0346</t>
  </si>
  <si>
    <t>2023-07-31</t>
  </si>
  <si>
    <t>ORD0347</t>
  </si>
  <si>
    <t>ORD0348</t>
  </si>
  <si>
    <t>2023-02-02</t>
  </si>
  <si>
    <t>ORD0349</t>
  </si>
  <si>
    <t>2023-07-12</t>
  </si>
  <si>
    <t>ORD0350</t>
  </si>
  <si>
    <t>ORD0351</t>
  </si>
  <si>
    <t>ORD0352</t>
  </si>
  <si>
    <t>ORD0353</t>
  </si>
  <si>
    <t>ORD0354</t>
  </si>
  <si>
    <t>ORD0355</t>
  </si>
  <si>
    <t>2023-08-01</t>
  </si>
  <si>
    <t>ORD0356</t>
  </si>
  <si>
    <t>ORD0357</t>
  </si>
  <si>
    <t>ORD0358</t>
  </si>
  <si>
    <t>2023-12-13</t>
  </si>
  <si>
    <t>ORD0359</t>
  </si>
  <si>
    <t>ORD0360</t>
  </si>
  <si>
    <t>2023-11-24</t>
  </si>
  <si>
    <t>CUST025</t>
  </si>
  <si>
    <t>ORD0361</t>
  </si>
  <si>
    <t>ORD0362</t>
  </si>
  <si>
    <t>ORD0363</t>
  </si>
  <si>
    <t>ORD0364</t>
  </si>
  <si>
    <t>2023-09-15</t>
  </si>
  <si>
    <t>ORD0365</t>
  </si>
  <si>
    <t>ORD0366</t>
  </si>
  <si>
    <t>2023-10-14</t>
  </si>
  <si>
    <t>ORD0367</t>
  </si>
  <si>
    <t>ORD0368</t>
  </si>
  <si>
    <t>ORD0369</t>
  </si>
  <si>
    <t>ORD0370</t>
  </si>
  <si>
    <t>2023-05-08</t>
  </si>
  <si>
    <t>ORD0371</t>
  </si>
  <si>
    <t>ORD0372</t>
  </si>
  <si>
    <t>2023-08-18</t>
  </si>
  <si>
    <t>ORD0373</t>
  </si>
  <si>
    <t>2023-10-06</t>
  </si>
  <si>
    <t>ORD0374</t>
  </si>
  <si>
    <t>2023-11-25</t>
  </si>
  <si>
    <t>ORD0375</t>
  </si>
  <si>
    <t>2023-11-22</t>
  </si>
  <si>
    <t>ORD0376</t>
  </si>
  <si>
    <t>2023-12-01</t>
  </si>
  <si>
    <t>ORD0377</t>
  </si>
  <si>
    <t>2023-07-21</t>
  </si>
  <si>
    <t>ORD0378</t>
  </si>
  <si>
    <t>2023-02-21</t>
  </si>
  <si>
    <t>ORD0379</t>
  </si>
  <si>
    <t>2023-01-20</t>
  </si>
  <si>
    <t>CUST090</t>
  </si>
  <si>
    <t>ORD0380</t>
  </si>
  <si>
    <t>ORD0381</t>
  </si>
  <si>
    <t>ORD0382</t>
  </si>
  <si>
    <t>ORD0383</t>
  </si>
  <si>
    <t>ORD0384</t>
  </si>
  <si>
    <t>2023-04-17</t>
  </si>
  <si>
    <t>ORD0385</t>
  </si>
  <si>
    <t>2023-08-04</t>
  </si>
  <si>
    <t>ORD0386</t>
  </si>
  <si>
    <t>CUST017</t>
  </si>
  <si>
    <t>ORD0387</t>
  </si>
  <si>
    <t>2023-11-06</t>
  </si>
  <si>
    <t>ORD0388</t>
  </si>
  <si>
    <t>2023-08-21</t>
  </si>
  <si>
    <t>ORD0389</t>
  </si>
  <si>
    <t>2023-07-20</t>
  </si>
  <si>
    <t>ORD0390</t>
  </si>
  <si>
    <t>ORD0391</t>
  </si>
  <si>
    <t>2023-06-27</t>
  </si>
  <si>
    <t>ORD0392</t>
  </si>
  <si>
    <t>ORD0393</t>
  </si>
  <si>
    <t>ORD0394</t>
  </si>
  <si>
    <t>2023-01-10</t>
  </si>
  <si>
    <t>ORD0395</t>
  </si>
  <si>
    <t>ORD0396</t>
  </si>
  <si>
    <t>ORD0397</t>
  </si>
  <si>
    <t>ORD0398</t>
  </si>
  <si>
    <t>ORD0399</t>
  </si>
  <si>
    <t>ORD0400</t>
  </si>
  <si>
    <t>2023-02-08</t>
  </si>
  <si>
    <t>ORD0401</t>
  </si>
  <si>
    <t>ORD0402</t>
  </si>
  <si>
    <t>2023-10-25</t>
  </si>
  <si>
    <t>ORD0403</t>
  </si>
  <si>
    <t>2023-11-16</t>
  </si>
  <si>
    <t>ORD0404</t>
  </si>
  <si>
    <t>ORD0405</t>
  </si>
  <si>
    <t>ORD0406</t>
  </si>
  <si>
    <t>2023-12-23</t>
  </si>
  <si>
    <t>ORD0407</t>
  </si>
  <si>
    <t>2023-07-25</t>
  </si>
  <si>
    <t>ORD0408</t>
  </si>
  <si>
    <t>ORD0409</t>
  </si>
  <si>
    <t>ORD0410</t>
  </si>
  <si>
    <t>2023-11-20</t>
  </si>
  <si>
    <t>ORD0411</t>
  </si>
  <si>
    <t>2023-07-15</t>
  </si>
  <si>
    <t>ORD0412</t>
  </si>
  <si>
    <t>ORD0413</t>
  </si>
  <si>
    <t>ORD0414</t>
  </si>
  <si>
    <t>ORD0415</t>
  </si>
  <si>
    <t>ORD0416</t>
  </si>
  <si>
    <t>2023-11-14</t>
  </si>
  <si>
    <t>ORD0417</t>
  </si>
  <si>
    <t>2023-05-02</t>
  </si>
  <si>
    <t>ORD0418</t>
  </si>
  <si>
    <t>ORD0419</t>
  </si>
  <si>
    <t>CUST068</t>
  </si>
  <si>
    <t>ORD0420</t>
  </si>
  <si>
    <t>ORD0421</t>
  </si>
  <si>
    <t>ORD0422</t>
  </si>
  <si>
    <t>2023-09-29</t>
  </si>
  <si>
    <t>ORD0423</t>
  </si>
  <si>
    <t>ORD0424</t>
  </si>
  <si>
    <t>2023-01-21</t>
  </si>
  <si>
    <t>ORD0425</t>
  </si>
  <si>
    <t>ORD0426</t>
  </si>
  <si>
    <t>ORD0427</t>
  </si>
  <si>
    <t>2023-01-01</t>
  </si>
  <si>
    <t>ORD0428</t>
  </si>
  <si>
    <t>ORD0429</t>
  </si>
  <si>
    <t>ORD0430</t>
  </si>
  <si>
    <t>ORD0431</t>
  </si>
  <si>
    <t>2023-06-04</t>
  </si>
  <si>
    <t>ORD0432</t>
  </si>
  <si>
    <t>2023-07-30</t>
  </si>
  <si>
    <t>ORD0433</t>
  </si>
  <si>
    <t>2023-07-19</t>
  </si>
  <si>
    <t>ORD0434</t>
  </si>
  <si>
    <t>2023-04-11</t>
  </si>
  <si>
    <t>ORD0435</t>
  </si>
  <si>
    <t>ORD0436</t>
  </si>
  <si>
    <t>2023-05-09</t>
  </si>
  <si>
    <t>ORD0437</t>
  </si>
  <si>
    <t>2023-05-30</t>
  </si>
  <si>
    <t>ORD0438</t>
  </si>
  <si>
    <t>ORD0439</t>
  </si>
  <si>
    <t>ORD0440</t>
  </si>
  <si>
    <t>ORD0441</t>
  </si>
  <si>
    <t>ORD0442</t>
  </si>
  <si>
    <t>ORD0443</t>
  </si>
  <si>
    <t>ORD0444</t>
  </si>
  <si>
    <t>ORD0445</t>
  </si>
  <si>
    <t>2023-08-16</t>
  </si>
  <si>
    <t>ORD0446</t>
  </si>
  <si>
    <t>2023-08-14</t>
  </si>
  <si>
    <t>ORD0447</t>
  </si>
  <si>
    <t>ORD0448</t>
  </si>
  <si>
    <t>2023-11-04</t>
  </si>
  <si>
    <t>ORD0449</t>
  </si>
  <si>
    <t>ORD0450</t>
  </si>
  <si>
    <t>2023-01-16</t>
  </si>
  <si>
    <t>ORD0451</t>
  </si>
  <si>
    <t>ORD0452</t>
  </si>
  <si>
    <t>2023-10-15</t>
  </si>
  <si>
    <t>ORD0453</t>
  </si>
  <si>
    <t>2023-08-29</t>
  </si>
  <si>
    <t>ORD0454</t>
  </si>
  <si>
    <t>ORD0455</t>
  </si>
  <si>
    <t>ORD0456</t>
  </si>
  <si>
    <t>ORD0457</t>
  </si>
  <si>
    <t>ORD0458</t>
  </si>
  <si>
    <t>ORD0459</t>
  </si>
  <si>
    <t>ORD0460</t>
  </si>
  <si>
    <t>ORD0461</t>
  </si>
  <si>
    <t>CUST100</t>
  </si>
  <si>
    <t>ORD0462</t>
  </si>
  <si>
    <t>ORD0463</t>
  </si>
  <si>
    <t>ORD0464</t>
  </si>
  <si>
    <t>ORD0465</t>
  </si>
  <si>
    <t>ORD0466</t>
  </si>
  <si>
    <t>ORD0467</t>
  </si>
  <si>
    <t>ORD0468</t>
  </si>
  <si>
    <t>ORD0469</t>
  </si>
  <si>
    <t>ORD0470</t>
  </si>
  <si>
    <t>ORD0471</t>
  </si>
  <si>
    <t>ORD0472</t>
  </si>
  <si>
    <t>ORD0473</t>
  </si>
  <si>
    <t>ORD0474</t>
  </si>
  <si>
    <t>ORD0475</t>
  </si>
  <si>
    <t>2023-03-02</t>
  </si>
  <si>
    <t>ORD0476</t>
  </si>
  <si>
    <t>ORD0477</t>
  </si>
  <si>
    <t>ORD0478</t>
  </si>
  <si>
    <t>ORD0479</t>
  </si>
  <si>
    <t>ORD0480</t>
  </si>
  <si>
    <t>ORD0481</t>
  </si>
  <si>
    <t>2023-02-26</t>
  </si>
  <si>
    <t>ORD0482</t>
  </si>
  <si>
    <t>ORD0483</t>
  </si>
  <si>
    <t>ORD0484</t>
  </si>
  <si>
    <t>ORD0485</t>
  </si>
  <si>
    <t>ORD0486</t>
  </si>
  <si>
    <t>2023-07-27</t>
  </si>
  <si>
    <t>ORD0487</t>
  </si>
  <si>
    <t>ORD0488</t>
  </si>
  <si>
    <t>ORD0489</t>
  </si>
  <si>
    <t>ORD0490</t>
  </si>
  <si>
    <t>2023-10-22</t>
  </si>
  <si>
    <t>ORD0491</t>
  </si>
  <si>
    <t>ORD0492</t>
  </si>
  <si>
    <t>ORD0493</t>
  </si>
  <si>
    <t>ORD0494</t>
  </si>
  <si>
    <t>ORD0495</t>
  </si>
  <si>
    <t>2023-08-20</t>
  </si>
  <si>
    <t>ORD0496</t>
  </si>
  <si>
    <t>2023-02-06</t>
  </si>
  <si>
    <t>ORD0497</t>
  </si>
  <si>
    <t>2023-01-18</t>
  </si>
  <si>
    <t>ORD0498</t>
  </si>
  <si>
    <t>2023-10-23</t>
  </si>
  <si>
    <t>ORD0499</t>
  </si>
  <si>
    <t>ORD0500</t>
  </si>
  <si>
    <t>Revenue2</t>
  </si>
  <si>
    <t>Order Date (Month)</t>
  </si>
  <si>
    <t>Order Date(Year)</t>
  </si>
  <si>
    <t>Total Orders</t>
  </si>
  <si>
    <t>Total Revenue</t>
  </si>
  <si>
    <t>Total Customers</t>
  </si>
  <si>
    <t>Unique Customers</t>
  </si>
  <si>
    <t>Average Order Value(AOV)</t>
  </si>
  <si>
    <t>Metric</t>
  </si>
  <si>
    <t>Numbers</t>
  </si>
  <si>
    <t>Row Labels</t>
  </si>
  <si>
    <t>Grand Total</t>
  </si>
  <si>
    <t>Sum of Revenue</t>
  </si>
  <si>
    <t>Feb</t>
  </si>
  <si>
    <t>Mar</t>
  </si>
  <si>
    <t>Apr</t>
  </si>
  <si>
    <t>May</t>
  </si>
  <si>
    <t>Jun</t>
  </si>
  <si>
    <t>Jul</t>
  </si>
  <si>
    <t>Aug</t>
  </si>
  <si>
    <t>Sept</t>
  </si>
  <si>
    <t>Oct</t>
  </si>
  <si>
    <t>Nov</t>
  </si>
  <si>
    <t>Dec</t>
  </si>
  <si>
    <t>Count of Order ID</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</si>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</sst>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quot;R&quot;#,##0.00"/>
  </numFmts>
  <fonts count="5">
    <font>
      <sz val="11"/>
      <color theme="1"/>
      <name val="Calibri"/>
      <family val="2"/>
      <scheme val="minor"/>
    </font>
    <font>
      <b/>
      <sz val="11"/>
      <color theme="1"/>
      <name val="Calibri"/>
      <family val="2"/>
      <scheme val="minor"/>
    </font>
    <font>
      <sz val="8"/>
      <name val="Calibri"/>
      <family val="2"/>
      <scheme val="minor"/>
    </font>
    <font>
      <sz val="20"/>
      <color rgb="FF000000"/>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0" fillId="0" borderId="0" xfId="0" applyNumberFormat="1"/>
    <xf numFmtId="0" fontId="4" fillId="0" borderId="0" xfId="0" applyFont="1"/>
    <xf numFmtId="166" fontId="3" fillId="0" borderId="0" xfId="0" applyNumberFormat="1" applyFont="1"/>
    <xf numFmtId="166" fontId="4" fillId="0" borderId="0" xfId="0" applyNumberFormat="1" applyFont="1"/>
  </cellXfs>
  <cellStyles count="1">
    <cellStyle name="Normal" xfId="0" builtinId="0"/>
  </cellStyles>
  <dxfs count="5">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multiLvlStrRef>
              <c:f>Pivot_Tables!$A$2:$A$14</c:f>
              <c:multiLvlStrCache>
                <c:ptCount val="11"/>
                <c:lvl>
                  <c:pt idx="0">
                    <c:v>Feb</c:v>
                  </c:pt>
                  <c:pt idx="1">
                    <c:v>Mar</c:v>
                  </c:pt>
                  <c:pt idx="2">
                    <c:v>Apr</c:v>
                  </c:pt>
                  <c:pt idx="3">
                    <c:v>May</c:v>
                  </c:pt>
                  <c:pt idx="4">
                    <c:v>Jun</c:v>
                  </c:pt>
                  <c:pt idx="5">
                    <c:v>Jul</c:v>
                  </c:pt>
                  <c:pt idx="6">
                    <c:v>Aug</c:v>
                  </c:pt>
                  <c:pt idx="7">
                    <c:v>Sept</c:v>
                  </c:pt>
                  <c:pt idx="8">
                    <c:v>Oct</c:v>
                  </c:pt>
                  <c:pt idx="9">
                    <c:v>Nov</c:v>
                  </c:pt>
                  <c:pt idx="10">
                    <c:v>Dec</c:v>
                  </c:pt>
                </c:lvl>
                <c:lvl>
                  <c:pt idx="0">
                    <c:v>2023</c:v>
                  </c:pt>
                </c:lvl>
              </c:multiLvlStrCache>
            </c:multiLvlStrRef>
          </c:cat>
          <c:val>
            <c:numRef>
              <c:f>Pivot_Tables!$B$2:$B$14</c:f>
              <c:numCache>
                <c:formatCode>General</c:formatCode>
                <c:ptCount val="11"/>
                <c:pt idx="0">
                  <c:v>95029.06</c:v>
                </c:pt>
                <c:pt idx="1">
                  <c:v>143256.63999999998</c:v>
                </c:pt>
                <c:pt idx="2">
                  <c:v>117686.25999999997</c:v>
                </c:pt>
                <c:pt idx="3">
                  <c:v>156888.15000000002</c:v>
                </c:pt>
                <c:pt idx="4">
                  <c:v>143507.14000000001</c:v>
                </c:pt>
                <c:pt idx="5">
                  <c:v>139446.67000000001</c:v>
                </c:pt>
                <c:pt idx="6">
                  <c:v>101637.45000000004</c:v>
                </c:pt>
                <c:pt idx="7">
                  <c:v>166405.82999999999</c:v>
                </c:pt>
                <c:pt idx="8">
                  <c:v>151110.65000000002</c:v>
                </c:pt>
                <c:pt idx="9">
                  <c:v>93037.989999999991</c:v>
                </c:pt>
                <c:pt idx="10">
                  <c:v>134508.22000000003</c:v>
                </c:pt>
              </c:numCache>
            </c:numRef>
          </c:val>
          <c:smooth val="0"/>
          <c:extLst>
            <c:ext xmlns:c16="http://schemas.microsoft.com/office/drawing/2014/chart" uri="{C3380CC4-5D6E-409C-BE32-E72D297353CC}">
              <c16:uniqueId val="{00000000-0598-4B3D-8A0B-975ABFC482E7}"/>
            </c:ext>
          </c:extLst>
        </c:ser>
        <c:dLbls>
          <c:showLegendKey val="0"/>
          <c:showVal val="0"/>
          <c:showCatName val="0"/>
          <c:showSerName val="0"/>
          <c:showPercent val="0"/>
          <c:showBubbleSize val="0"/>
        </c:dLbls>
        <c:smooth val="0"/>
        <c:axId val="1435035551"/>
        <c:axId val="1435036511"/>
      </c:lineChart>
      <c:catAx>
        <c:axId val="14350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36511"/>
        <c:crosses val="autoZero"/>
        <c:auto val="1"/>
        <c:lblAlgn val="ctr"/>
        <c:lblOffset val="100"/>
        <c:noMultiLvlLbl val="0"/>
      </c:catAx>
      <c:valAx>
        <c:axId val="143503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3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 Revenue Per</a:t>
            </a:r>
            <a:r>
              <a:rPr lang="en-ZA" baseline="0"/>
              <a:t> Category</a:t>
            </a:r>
            <a:endParaRPr lang="en-ZA"/>
          </a:p>
        </c:rich>
      </c:tx>
      <c:layout>
        <c:manualLayout>
          <c:xMode val="edge"/>
          <c:yMode val="edge"/>
          <c:x val="0.2850971128608924"/>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5914260717412"/>
          <c:y val="0.19847003499562554"/>
          <c:w val="0.67064085739282586"/>
          <c:h val="0.61632307643787521"/>
        </c:manualLayout>
      </c:layout>
      <c:barChart>
        <c:barDir val="bar"/>
        <c:grouping val="clustered"/>
        <c:varyColors val="0"/>
        <c:ser>
          <c:idx val="0"/>
          <c:order val="0"/>
          <c:tx>
            <c:strRef>
              <c:f>Pivot_Tables!$B$20</c:f>
              <c:strCache>
                <c:ptCount val="1"/>
                <c:pt idx="0">
                  <c:v>Total</c:v>
                </c:pt>
              </c:strCache>
            </c:strRef>
          </c:tx>
          <c:spPr>
            <a:solidFill>
              <a:schemeClr val="accent1"/>
            </a:solidFill>
            <a:ln>
              <a:noFill/>
            </a:ln>
            <a:effectLst/>
          </c:spPr>
          <c:invertIfNegative val="0"/>
          <c:cat>
            <c:strRef>
              <c:f>Pivot_Tables!$A$21:$A$25</c:f>
              <c:strCache>
                <c:ptCount val="4"/>
                <c:pt idx="0">
                  <c:v>Electronics</c:v>
                </c:pt>
                <c:pt idx="1">
                  <c:v>Fashion</c:v>
                </c:pt>
                <c:pt idx="2">
                  <c:v>Accessories</c:v>
                </c:pt>
                <c:pt idx="3">
                  <c:v>Home</c:v>
                </c:pt>
              </c:strCache>
            </c:strRef>
          </c:cat>
          <c:val>
            <c:numRef>
              <c:f>Pivot_Tables!$B$21:$B$25</c:f>
              <c:numCache>
                <c:formatCode>General</c:formatCode>
                <c:ptCount val="4"/>
                <c:pt idx="0">
                  <c:v>583459.87000000011</c:v>
                </c:pt>
                <c:pt idx="1">
                  <c:v>375887.66999999993</c:v>
                </c:pt>
                <c:pt idx="2">
                  <c:v>338766.58999999991</c:v>
                </c:pt>
                <c:pt idx="3">
                  <c:v>277961.13</c:v>
                </c:pt>
              </c:numCache>
            </c:numRef>
          </c:val>
          <c:extLst>
            <c:ext xmlns:c16="http://schemas.microsoft.com/office/drawing/2014/chart" uri="{C3380CC4-5D6E-409C-BE32-E72D297353CC}">
              <c16:uniqueId val="{00000000-1873-4DB5-968D-9BC0D8984A30}"/>
            </c:ext>
          </c:extLst>
        </c:ser>
        <c:dLbls>
          <c:showLegendKey val="0"/>
          <c:showVal val="0"/>
          <c:showCatName val="0"/>
          <c:showSerName val="0"/>
          <c:showPercent val="0"/>
          <c:showBubbleSize val="0"/>
        </c:dLbls>
        <c:gapWidth val="182"/>
        <c:axId val="1536552272"/>
        <c:axId val="1536552752"/>
      </c:barChart>
      <c:catAx>
        <c:axId val="1536552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Category</a:t>
                </a:r>
              </a:p>
            </c:rich>
          </c:tx>
          <c:layout>
            <c:manualLayout>
              <c:xMode val="edge"/>
              <c:yMode val="edge"/>
              <c:x val="4.318044619422573E-2"/>
              <c:y val="0.424308471857684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552752"/>
        <c:crosses val="autoZero"/>
        <c:auto val="1"/>
        <c:lblAlgn val="ctr"/>
        <c:lblOffset val="100"/>
        <c:noMultiLvlLbl val="0"/>
      </c:catAx>
      <c:valAx>
        <c:axId val="153655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Sum</a:t>
                </a:r>
                <a:r>
                  <a:rPr lang="en-ZA" baseline="0"/>
                  <a:t> of Revenue</a:t>
                </a:r>
                <a:endParaRPr lang="en-ZA"/>
              </a:p>
            </c:rich>
          </c:tx>
          <c:layout>
            <c:manualLayout>
              <c:xMode val="edge"/>
              <c:yMode val="edge"/>
              <c:x val="0.45992257217847771"/>
              <c:y val="0.900232681195224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a:t>
            </a:r>
            <a:r>
              <a:rPr lang="en-ZA" baseline="0"/>
              <a:t> Revenue by Region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Pivot_Tables!$B$37</c:f>
              <c:strCache>
                <c:ptCount val="1"/>
                <c:pt idx="0">
                  <c:v>Total</c:v>
                </c:pt>
              </c:strCache>
            </c:strRef>
          </c:tx>
          <c:spPr>
            <a:solidFill>
              <a:schemeClr val="accent1"/>
            </a:solidFill>
            <a:ln>
              <a:noFill/>
            </a:ln>
            <a:effectLst/>
          </c:spPr>
          <c:invertIfNegative val="0"/>
          <c:cat>
            <c:strRef>
              <c:f>Pivot_Tables!$A$38:$A$42</c:f>
              <c:strCache>
                <c:ptCount val="4"/>
                <c:pt idx="0">
                  <c:v>KwaZulu-Natal</c:v>
                </c:pt>
                <c:pt idx="1">
                  <c:v>Gauteng</c:v>
                </c:pt>
                <c:pt idx="2">
                  <c:v>Western Cape</c:v>
                </c:pt>
                <c:pt idx="3">
                  <c:v>Eastern Cape</c:v>
                </c:pt>
              </c:strCache>
            </c:strRef>
          </c:cat>
          <c:val>
            <c:numRef>
              <c:f>Pivot_Tables!$B$38:$B$42</c:f>
              <c:numCache>
                <c:formatCode>General</c:formatCode>
                <c:ptCount val="4"/>
                <c:pt idx="0">
                  <c:v>404562.28999999992</c:v>
                </c:pt>
                <c:pt idx="1">
                  <c:v>403924.39000000025</c:v>
                </c:pt>
                <c:pt idx="2">
                  <c:v>383859.55</c:v>
                </c:pt>
                <c:pt idx="3">
                  <c:v>383729.02999999991</c:v>
                </c:pt>
              </c:numCache>
            </c:numRef>
          </c:val>
          <c:extLst>
            <c:ext xmlns:c16="http://schemas.microsoft.com/office/drawing/2014/chart" uri="{C3380CC4-5D6E-409C-BE32-E72D297353CC}">
              <c16:uniqueId val="{00000000-6BE1-4E41-8076-86B4A1B252D2}"/>
            </c:ext>
          </c:extLst>
        </c:ser>
        <c:dLbls>
          <c:showLegendKey val="0"/>
          <c:showVal val="0"/>
          <c:showCatName val="0"/>
          <c:showSerName val="0"/>
          <c:showPercent val="0"/>
          <c:showBubbleSize val="0"/>
        </c:dLbls>
        <c:gapWidth val="219"/>
        <c:overlap val="-27"/>
        <c:axId val="1533828560"/>
        <c:axId val="1533826640"/>
      </c:barChart>
      <c:catAx>
        <c:axId val="1533828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26640"/>
        <c:crosses val="autoZero"/>
        <c:auto val="1"/>
        <c:lblAlgn val="ctr"/>
        <c:lblOffset val="100"/>
        <c:noMultiLvlLbl val="0"/>
      </c:catAx>
      <c:valAx>
        <c:axId val="153382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Pivot_Tables!$B$52</c:f>
              <c:strCache>
                <c:ptCount val="1"/>
                <c:pt idx="0">
                  <c:v>Total</c:v>
                </c:pt>
              </c:strCache>
            </c:strRef>
          </c:tx>
          <c:spPr>
            <a:solidFill>
              <a:schemeClr val="accent1"/>
            </a:solidFill>
            <a:ln>
              <a:noFill/>
            </a:ln>
            <a:effectLst/>
          </c:spPr>
          <c:invertIfNegative val="0"/>
          <c:cat>
            <c:strRef>
              <c:f>Pivot_Tables!$A$53:$A$63</c:f>
              <c:strCache>
                <c:ptCount val="10"/>
                <c:pt idx="0">
                  <c:v>CUST039</c:v>
                </c:pt>
                <c:pt idx="1">
                  <c:v>CUST096</c:v>
                </c:pt>
                <c:pt idx="2">
                  <c:v>CUST113</c:v>
                </c:pt>
                <c:pt idx="3">
                  <c:v>CUST120</c:v>
                </c:pt>
                <c:pt idx="4">
                  <c:v>CUST043</c:v>
                </c:pt>
                <c:pt idx="5">
                  <c:v>CUST062</c:v>
                </c:pt>
                <c:pt idx="6">
                  <c:v>CUST008</c:v>
                </c:pt>
                <c:pt idx="7">
                  <c:v>CUST044</c:v>
                </c:pt>
                <c:pt idx="8">
                  <c:v>CUST112</c:v>
                </c:pt>
                <c:pt idx="9">
                  <c:v>CUST076</c:v>
                </c:pt>
              </c:strCache>
            </c:strRef>
          </c:cat>
          <c:val>
            <c:numRef>
              <c:f>Pivot_Tables!$B$53:$B$63</c:f>
              <c:numCache>
                <c:formatCode>General</c:formatCode>
                <c:ptCount val="10"/>
                <c:pt idx="0">
                  <c:v>21808.640000000003</c:v>
                </c:pt>
                <c:pt idx="1">
                  <c:v>22324.13</c:v>
                </c:pt>
                <c:pt idx="2">
                  <c:v>22618.83</c:v>
                </c:pt>
                <c:pt idx="3">
                  <c:v>24726.329999999998</c:v>
                </c:pt>
                <c:pt idx="4">
                  <c:v>24917.920000000002</c:v>
                </c:pt>
                <c:pt idx="5">
                  <c:v>26100.530000000002</c:v>
                </c:pt>
                <c:pt idx="6">
                  <c:v>31593.420000000002</c:v>
                </c:pt>
                <c:pt idx="7">
                  <c:v>36952.53</c:v>
                </c:pt>
                <c:pt idx="8">
                  <c:v>37946.43</c:v>
                </c:pt>
                <c:pt idx="9">
                  <c:v>41586.28</c:v>
                </c:pt>
              </c:numCache>
            </c:numRef>
          </c:val>
          <c:extLst>
            <c:ext xmlns:c16="http://schemas.microsoft.com/office/drawing/2014/chart" uri="{C3380CC4-5D6E-409C-BE32-E72D297353CC}">
              <c16:uniqueId val="{00000000-9A6A-400F-BF1E-B6C41BF732ED}"/>
            </c:ext>
          </c:extLst>
        </c:ser>
        <c:dLbls>
          <c:showLegendKey val="0"/>
          <c:showVal val="0"/>
          <c:showCatName val="0"/>
          <c:showSerName val="0"/>
          <c:showPercent val="0"/>
          <c:showBubbleSize val="0"/>
        </c:dLbls>
        <c:gapWidth val="219"/>
        <c:overlap val="-27"/>
        <c:axId val="1577707936"/>
        <c:axId val="1577706496"/>
      </c:barChart>
      <c:catAx>
        <c:axId val="157770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Customer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06496"/>
        <c:crosses val="autoZero"/>
        <c:auto val="1"/>
        <c:lblAlgn val="ctr"/>
        <c:lblOffset val="100"/>
        <c:noMultiLvlLbl val="0"/>
      </c:catAx>
      <c:valAx>
        <c:axId val="157770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Sum</a:t>
                </a:r>
                <a:r>
                  <a:rPr lang="en-ZA" baseline="0"/>
                  <a:t> of Revenue</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chatgtpt.xlsx]Pivot_Tables!PivotTable1</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sz="1800" b="1" i="0" u="none" strike="noStrike" cap="all" baseline="0"/>
              <a:t>Monthly Revenue Trend</a:t>
            </a:r>
            <a:endParaRPr lang="en-US">
              <a:solidFill>
                <a:schemeClr val="tx1">
                  <a:lumMod val="65000"/>
                  <a:lumOff val="35000"/>
                </a:schemeClr>
              </a:solidFill>
            </a:endParaRPr>
          </a:p>
        </c:rich>
      </c:tx>
      <c:layout>
        <c:manualLayout>
          <c:xMode val="edge"/>
          <c:yMode val="edge"/>
          <c:x val="0.20979881831495287"/>
          <c:y val="4.411764705882353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3073733430379"/>
          <c:y val="0.23162575266327004"/>
          <c:w val="0.75702310151536933"/>
          <c:h val="0.49114675003859809"/>
        </c:manualLayout>
      </c:layout>
      <c:lineChart>
        <c:grouping val="standard"/>
        <c:varyColors val="0"/>
        <c:ser>
          <c:idx val="0"/>
          <c:order val="0"/>
          <c:tx>
            <c:strRef>
              <c:f>Pivot_Tables!$B$1</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Pivot_Tables!$A$2:$A$14</c:f>
              <c:multiLvlStrCache>
                <c:ptCount val="11"/>
                <c:lvl>
                  <c:pt idx="0">
                    <c:v>Feb</c:v>
                  </c:pt>
                  <c:pt idx="1">
                    <c:v>Mar</c:v>
                  </c:pt>
                  <c:pt idx="2">
                    <c:v>Apr</c:v>
                  </c:pt>
                  <c:pt idx="3">
                    <c:v>May</c:v>
                  </c:pt>
                  <c:pt idx="4">
                    <c:v>Jun</c:v>
                  </c:pt>
                  <c:pt idx="5">
                    <c:v>Jul</c:v>
                  </c:pt>
                  <c:pt idx="6">
                    <c:v>Aug</c:v>
                  </c:pt>
                  <c:pt idx="7">
                    <c:v>Sept</c:v>
                  </c:pt>
                  <c:pt idx="8">
                    <c:v>Oct</c:v>
                  </c:pt>
                  <c:pt idx="9">
                    <c:v>Nov</c:v>
                  </c:pt>
                  <c:pt idx="10">
                    <c:v>Dec</c:v>
                  </c:pt>
                </c:lvl>
                <c:lvl>
                  <c:pt idx="0">
                    <c:v>2023</c:v>
                  </c:pt>
                </c:lvl>
              </c:multiLvlStrCache>
            </c:multiLvlStrRef>
          </c:cat>
          <c:val>
            <c:numRef>
              <c:f>Pivot_Tables!$B$2:$B$14</c:f>
              <c:numCache>
                <c:formatCode>General</c:formatCode>
                <c:ptCount val="11"/>
                <c:pt idx="0">
                  <c:v>95029.06</c:v>
                </c:pt>
                <c:pt idx="1">
                  <c:v>143256.63999999998</c:v>
                </c:pt>
                <c:pt idx="2">
                  <c:v>117686.25999999997</c:v>
                </c:pt>
                <c:pt idx="3">
                  <c:v>156888.15000000002</c:v>
                </c:pt>
                <c:pt idx="4">
                  <c:v>143507.14000000001</c:v>
                </c:pt>
                <c:pt idx="5">
                  <c:v>139446.67000000001</c:v>
                </c:pt>
                <c:pt idx="6">
                  <c:v>101637.45000000004</c:v>
                </c:pt>
                <c:pt idx="7">
                  <c:v>166405.82999999999</c:v>
                </c:pt>
                <c:pt idx="8">
                  <c:v>151110.65000000002</c:v>
                </c:pt>
                <c:pt idx="9">
                  <c:v>93037.989999999991</c:v>
                </c:pt>
                <c:pt idx="10">
                  <c:v>134508.22000000003</c:v>
                </c:pt>
              </c:numCache>
            </c:numRef>
          </c:val>
          <c:smooth val="0"/>
          <c:extLst>
            <c:ext xmlns:c16="http://schemas.microsoft.com/office/drawing/2014/chart" uri="{C3380CC4-5D6E-409C-BE32-E72D297353CC}">
              <c16:uniqueId val="{00000000-974E-4ABF-87AB-F1C292051394}"/>
            </c:ext>
          </c:extLst>
        </c:ser>
        <c:dLbls>
          <c:showLegendKey val="0"/>
          <c:showVal val="0"/>
          <c:showCatName val="0"/>
          <c:showSerName val="0"/>
          <c:showPercent val="0"/>
          <c:showBubbleSize val="0"/>
        </c:dLbls>
        <c:marker val="1"/>
        <c:smooth val="0"/>
        <c:axId val="1435035551"/>
        <c:axId val="1435036511"/>
      </c:lineChart>
      <c:catAx>
        <c:axId val="14350355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Order Date</a:t>
                </a:r>
              </a:p>
            </c:rich>
          </c:tx>
          <c:layout>
            <c:manualLayout>
              <c:xMode val="edge"/>
              <c:yMode val="edge"/>
              <c:x val="0.48605615474536273"/>
              <c:y val="0.8843307086614172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36511"/>
        <c:crosses val="autoZero"/>
        <c:auto val="1"/>
        <c:lblAlgn val="ctr"/>
        <c:lblOffset val="100"/>
        <c:noMultiLvlLbl val="0"/>
      </c:catAx>
      <c:valAx>
        <c:axId val="143503651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Sum of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3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chatgtpt.xlsx]Pivot_Tables!PivotTable2</c:name>
    <c:fmtId val="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sz="1800" b="1" i="0" u="none" strike="noStrike" cap="all" baseline="0"/>
              <a:t>Revenue by Category</a:t>
            </a:r>
            <a:endParaRPr lang="en-ZA"/>
          </a:p>
        </c:rich>
      </c:tx>
      <c:layout>
        <c:manualLayout>
          <c:xMode val="edge"/>
          <c:yMode val="edge"/>
          <c:x val="0.2529106621106324"/>
          <c:y val="5.10521914849139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ZA"/>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5914260717412"/>
          <c:y val="0.22157728071601671"/>
          <c:w val="0.67588190627115008"/>
          <c:h val="0.59321572635278996"/>
        </c:manualLayout>
      </c:layout>
      <c:barChart>
        <c:barDir val="bar"/>
        <c:grouping val="clustered"/>
        <c:varyColors val="0"/>
        <c:ser>
          <c:idx val="0"/>
          <c:order val="0"/>
          <c:tx>
            <c:strRef>
              <c:f>Pivot_Tables!$B$20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Pivot_Tables!$A$21:$A$25</c:f>
              <c:strCache>
                <c:ptCount val="4"/>
                <c:pt idx="0">
                  <c:v>Electronics</c:v>
                </c:pt>
                <c:pt idx="1">
                  <c:v>Fashion</c:v>
                </c:pt>
                <c:pt idx="2">
                  <c:v>Accessories</c:v>
                </c:pt>
                <c:pt idx="3">
                  <c:v>Home</c:v>
                </c:pt>
              </c:strCache>
            </c:strRef>
          </c:cat>
          <c:val>
            <c:numRef>
              <c:f>Pivot_Tables!$B$21:$B$25</c:f>
              <c:numCache>
                <c:formatCode>General</c:formatCode>
                <c:ptCount val="4"/>
                <c:pt idx="0">
                  <c:v>583459.87000000011</c:v>
                </c:pt>
                <c:pt idx="1">
                  <c:v>375887.66999999993</c:v>
                </c:pt>
                <c:pt idx="2">
                  <c:v>338766.58999999991</c:v>
                </c:pt>
                <c:pt idx="3">
                  <c:v>277961.13</c:v>
                </c:pt>
              </c:numCache>
            </c:numRef>
          </c:val>
          <c:extLst>
            <c:ext xmlns:c16="http://schemas.microsoft.com/office/drawing/2014/chart" uri="{C3380CC4-5D6E-409C-BE32-E72D297353CC}">
              <c16:uniqueId val="{00000000-F205-416B-930F-46E7E382CE44}"/>
            </c:ext>
          </c:extLst>
        </c:ser>
        <c:dLbls>
          <c:showLegendKey val="0"/>
          <c:showVal val="0"/>
          <c:showCatName val="0"/>
          <c:showSerName val="0"/>
          <c:showPercent val="0"/>
          <c:showBubbleSize val="0"/>
        </c:dLbls>
        <c:gapWidth val="326"/>
        <c:overlap val="-58"/>
        <c:axId val="1536552272"/>
        <c:axId val="1536552752"/>
      </c:barChart>
      <c:catAx>
        <c:axId val="15365522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Category</a:t>
                </a:r>
              </a:p>
            </c:rich>
          </c:tx>
          <c:layout>
            <c:manualLayout>
              <c:xMode val="edge"/>
              <c:yMode val="edge"/>
              <c:x val="4.318044619422573E-2"/>
              <c:y val="0.424308471857684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552752"/>
        <c:crosses val="autoZero"/>
        <c:auto val="1"/>
        <c:lblAlgn val="ctr"/>
        <c:lblOffset val="100"/>
        <c:noMultiLvlLbl val="0"/>
      </c:catAx>
      <c:valAx>
        <c:axId val="15365527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Sum of Revenue</a:t>
                </a:r>
              </a:p>
            </c:rich>
          </c:tx>
          <c:layout>
            <c:manualLayout>
              <c:xMode val="edge"/>
              <c:yMode val="edge"/>
              <c:x val="0.45992257217847771"/>
              <c:y val="0.9002326811952242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chatgtpt.xlsx]Pivot_Tables!PivotTable4</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a:t> Revenue by Region </a:t>
            </a:r>
          </a:p>
        </c:rich>
      </c:tx>
      <c:layout>
        <c:manualLayout>
          <c:xMode val="edge"/>
          <c:yMode val="edge"/>
          <c:x val="0.2227951588808316"/>
          <c:y val="4.761904761904761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4173228346456"/>
          <c:y val="0.16178590176227972"/>
          <c:w val="0.81918435467305717"/>
          <c:h val="0.63257930258717654"/>
        </c:manualLayout>
      </c:layout>
      <c:barChart>
        <c:barDir val="col"/>
        <c:grouping val="clustered"/>
        <c:varyColors val="0"/>
        <c:ser>
          <c:idx val="0"/>
          <c:order val="0"/>
          <c:tx>
            <c:strRef>
              <c:f>Pivot_Tables!$B$37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Pivot_Tables!$A$38:$A$42</c:f>
              <c:strCache>
                <c:ptCount val="4"/>
                <c:pt idx="0">
                  <c:v>KwaZulu-Natal</c:v>
                </c:pt>
                <c:pt idx="1">
                  <c:v>Gauteng</c:v>
                </c:pt>
                <c:pt idx="2">
                  <c:v>Western Cape</c:v>
                </c:pt>
                <c:pt idx="3">
                  <c:v>Eastern Cape</c:v>
                </c:pt>
              </c:strCache>
            </c:strRef>
          </c:cat>
          <c:val>
            <c:numRef>
              <c:f>Pivot_Tables!$B$38:$B$42</c:f>
              <c:numCache>
                <c:formatCode>General</c:formatCode>
                <c:ptCount val="4"/>
                <c:pt idx="0">
                  <c:v>404562.28999999992</c:v>
                </c:pt>
                <c:pt idx="1">
                  <c:v>403924.39000000025</c:v>
                </c:pt>
                <c:pt idx="2">
                  <c:v>383859.55</c:v>
                </c:pt>
                <c:pt idx="3">
                  <c:v>383729.02999999991</c:v>
                </c:pt>
              </c:numCache>
            </c:numRef>
          </c:val>
          <c:extLst>
            <c:ext xmlns:c16="http://schemas.microsoft.com/office/drawing/2014/chart" uri="{C3380CC4-5D6E-409C-BE32-E72D297353CC}">
              <c16:uniqueId val="{00000000-249A-4521-A0EE-E107AC4E8231}"/>
            </c:ext>
          </c:extLst>
        </c:ser>
        <c:dLbls>
          <c:showLegendKey val="0"/>
          <c:showVal val="0"/>
          <c:showCatName val="0"/>
          <c:showSerName val="0"/>
          <c:showPercent val="0"/>
          <c:showBubbleSize val="0"/>
        </c:dLbls>
        <c:gapWidth val="355"/>
        <c:overlap val="-70"/>
        <c:axId val="1533828560"/>
        <c:axId val="1533826640"/>
      </c:barChart>
      <c:catAx>
        <c:axId val="153382856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26640"/>
        <c:crosses val="autoZero"/>
        <c:auto val="1"/>
        <c:lblAlgn val="ctr"/>
        <c:lblOffset val="100"/>
        <c:noMultiLvlLbl val="0"/>
      </c:catAx>
      <c:valAx>
        <c:axId val="153382664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Sum of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sales data generated by chatgtpt.xlsx]Pivot_Tables!PivotTable5</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a:t>Top Customers by Revenue Contribution</a:t>
            </a:r>
          </a:p>
        </c:rich>
      </c:tx>
      <c:layout>
        <c:manualLayout>
          <c:xMode val="edge"/>
          <c:yMode val="edge"/>
          <c:x val="0.19851268591426069"/>
          <c:y val="3.333333333333333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3294871159972"/>
          <c:y val="0.26154780652418441"/>
          <c:w val="0.82538214562802303"/>
          <c:h val="0.43777915260592415"/>
        </c:manualLayout>
      </c:layout>
      <c:barChart>
        <c:barDir val="col"/>
        <c:grouping val="clustered"/>
        <c:varyColors val="0"/>
        <c:ser>
          <c:idx val="0"/>
          <c:order val="0"/>
          <c:tx>
            <c:strRef>
              <c:f>Pivot_Tables!$B$52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Pivot_Tables!$A$53:$A$63</c:f>
              <c:strCache>
                <c:ptCount val="10"/>
                <c:pt idx="0">
                  <c:v>CUST039</c:v>
                </c:pt>
                <c:pt idx="1">
                  <c:v>CUST096</c:v>
                </c:pt>
                <c:pt idx="2">
                  <c:v>CUST113</c:v>
                </c:pt>
                <c:pt idx="3">
                  <c:v>CUST120</c:v>
                </c:pt>
                <c:pt idx="4">
                  <c:v>CUST043</c:v>
                </c:pt>
                <c:pt idx="5">
                  <c:v>CUST062</c:v>
                </c:pt>
                <c:pt idx="6">
                  <c:v>CUST008</c:v>
                </c:pt>
                <c:pt idx="7">
                  <c:v>CUST044</c:v>
                </c:pt>
                <c:pt idx="8">
                  <c:v>CUST112</c:v>
                </c:pt>
                <c:pt idx="9">
                  <c:v>CUST076</c:v>
                </c:pt>
              </c:strCache>
            </c:strRef>
          </c:cat>
          <c:val>
            <c:numRef>
              <c:f>Pivot_Tables!$B$53:$B$63</c:f>
              <c:numCache>
                <c:formatCode>General</c:formatCode>
                <c:ptCount val="10"/>
                <c:pt idx="0">
                  <c:v>21808.640000000003</c:v>
                </c:pt>
                <c:pt idx="1">
                  <c:v>22324.13</c:v>
                </c:pt>
                <c:pt idx="2">
                  <c:v>22618.83</c:v>
                </c:pt>
                <c:pt idx="3">
                  <c:v>24726.329999999998</c:v>
                </c:pt>
                <c:pt idx="4">
                  <c:v>24917.920000000002</c:v>
                </c:pt>
                <c:pt idx="5">
                  <c:v>26100.530000000002</c:v>
                </c:pt>
                <c:pt idx="6">
                  <c:v>31593.420000000002</c:v>
                </c:pt>
                <c:pt idx="7">
                  <c:v>36952.53</c:v>
                </c:pt>
                <c:pt idx="8">
                  <c:v>37946.43</c:v>
                </c:pt>
                <c:pt idx="9">
                  <c:v>41586.28</c:v>
                </c:pt>
              </c:numCache>
            </c:numRef>
          </c:val>
          <c:extLst>
            <c:ext xmlns:c16="http://schemas.microsoft.com/office/drawing/2014/chart" uri="{C3380CC4-5D6E-409C-BE32-E72D297353CC}">
              <c16:uniqueId val="{00000000-5B1E-4247-A7EB-A7CDA97151C2}"/>
            </c:ext>
          </c:extLst>
        </c:ser>
        <c:dLbls>
          <c:showLegendKey val="0"/>
          <c:showVal val="0"/>
          <c:showCatName val="0"/>
          <c:showSerName val="0"/>
          <c:showPercent val="0"/>
          <c:showBubbleSize val="0"/>
        </c:dLbls>
        <c:gapWidth val="355"/>
        <c:overlap val="-70"/>
        <c:axId val="1577707936"/>
        <c:axId val="1577706496"/>
      </c:barChart>
      <c:catAx>
        <c:axId val="15777079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Customer ID</a:t>
                </a:r>
              </a:p>
            </c:rich>
          </c:tx>
          <c:layout>
            <c:manualLayout>
              <c:xMode val="edge"/>
              <c:yMode val="edge"/>
              <c:x val="0.41299190726159229"/>
              <c:y val="0.8925692621755614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06496"/>
        <c:crosses val="autoZero"/>
        <c:auto val="1"/>
        <c:lblAlgn val="ctr"/>
        <c:lblOffset val="100"/>
        <c:noMultiLvlLbl val="0"/>
      </c:catAx>
      <c:valAx>
        <c:axId val="157770649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Sum of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182880</xdr:colOff>
      <xdr:row>1</xdr:row>
      <xdr:rowOff>137160</xdr:rowOff>
    </xdr:from>
    <xdr:to>
      <xdr:col>9</xdr:col>
      <xdr:colOff>487680</xdr:colOff>
      <xdr:row>16</xdr:row>
      <xdr:rowOff>137160</xdr:rowOff>
    </xdr:to>
    <xdr:graphicFrame macro="">
      <xdr:nvGraphicFramePr>
        <xdr:cNvPr id="2" name="Chart 1">
          <a:extLst>
            <a:ext uri="{FF2B5EF4-FFF2-40B4-BE49-F238E27FC236}">
              <a16:creationId xmlns:a16="http://schemas.microsoft.com/office/drawing/2014/main" id="{902026A4-CD76-8B97-F234-C7634C31E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167640</xdr:colOff>
      <xdr:row>17</xdr:row>
      <xdr:rowOff>156210</xdr:rowOff>
    </xdr:from>
    <xdr:to>
      <xdr:col>9</xdr:col>
      <xdr:colOff>472440</xdr:colOff>
      <xdr:row>33</xdr:row>
      <xdr:rowOff>83820</xdr:rowOff>
    </xdr:to>
    <xdr:graphicFrame macro="">
      <xdr:nvGraphicFramePr>
        <xdr:cNvPr id="3" name="Chart 2">
          <a:extLst>
            <a:ext uri="{FF2B5EF4-FFF2-40B4-BE49-F238E27FC236}">
              <a16:creationId xmlns:a16="http://schemas.microsoft.com/office/drawing/2014/main" id="{C4BC4C02-C8D6-2864-79F4-423079441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160020</xdr:colOff>
      <xdr:row>34</xdr:row>
      <xdr:rowOff>118110</xdr:rowOff>
    </xdr:from>
    <xdr:to>
      <xdr:col>9</xdr:col>
      <xdr:colOff>464820</xdr:colOff>
      <xdr:row>49</xdr:row>
      <xdr:rowOff>118110</xdr:rowOff>
    </xdr:to>
    <xdr:graphicFrame macro="">
      <xdr:nvGraphicFramePr>
        <xdr:cNvPr id="4" name="Chart 3">
          <a:extLst>
            <a:ext uri="{FF2B5EF4-FFF2-40B4-BE49-F238E27FC236}">
              <a16:creationId xmlns:a16="http://schemas.microsoft.com/office/drawing/2014/main" id="{FFF57D00-5407-2EC7-2ED9-9E0799114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160020</xdr:colOff>
      <xdr:row>50</xdr:row>
      <xdr:rowOff>95250</xdr:rowOff>
    </xdr:from>
    <xdr:to>
      <xdr:col>9</xdr:col>
      <xdr:colOff>464820</xdr:colOff>
      <xdr:row>65</xdr:row>
      <xdr:rowOff>95250</xdr:rowOff>
    </xdr:to>
    <xdr:graphicFrame macro="">
      <xdr:nvGraphicFramePr>
        <xdr:cNvPr id="5" name="Chart 4">
          <a:extLst>
            <a:ext uri="{FF2B5EF4-FFF2-40B4-BE49-F238E27FC236}">
              <a16:creationId xmlns:a16="http://schemas.microsoft.com/office/drawing/2014/main" id="{8DBBF290-A9C9-AA20-7F0D-B68C0FC11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182880</xdr:colOff>
      <xdr:row>16</xdr:row>
      <xdr:rowOff>114301</xdr:rowOff>
    </xdr:from>
    <xdr:to>
      <xdr:col>13</xdr:col>
      <xdr:colOff>182880</xdr:colOff>
      <xdr:row>24</xdr:row>
      <xdr:rowOff>83821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E233BE0-EBB9-282E-B820-F9983B3470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70420" y="3040381"/>
              <a:ext cx="1828800" cy="14325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7</xdr:row>
      <xdr:rowOff>144781</xdr:rowOff>
    </xdr:from>
    <xdr:to>
      <xdr:col>13</xdr:col>
      <xdr:colOff>175260</xdr:colOff>
      <xdr:row>15</xdr:row>
      <xdr:rowOff>129541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D28BA2D-BA43-3513-A7C4-93285FB484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62800" y="1424941"/>
              <a:ext cx="1828800" cy="1447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1</xdr:row>
      <xdr:rowOff>167641</xdr:rowOff>
    </xdr:from>
    <xdr:to>
      <xdr:col>13</xdr:col>
      <xdr:colOff>167640</xdr:colOff>
      <xdr:row>6</xdr:row>
      <xdr:rowOff>137161</xdr:rowOff>
    </xdr:to>
    <mc:AlternateContent xmlns:mc="http://schemas.openxmlformats.org/markup-compatibility/2006" xmlns:a14="http://schemas.microsoft.com/office/drawing/2010/main">
      <mc:Choice Requires="a14">
        <xdr:graphicFrame macro="">
          <xdr:nvGraphicFramePr>
            <xdr:cNvPr id="8" name="Order Date(Year)">
              <a:extLst>
                <a:ext uri="{FF2B5EF4-FFF2-40B4-BE49-F238E27FC236}">
                  <a16:creationId xmlns:a16="http://schemas.microsoft.com/office/drawing/2014/main" id="{30457AF5-5D85-345C-72D1-A6D0D7470D1B}"/>
                </a:ext>
              </a:extLst>
            </xdr:cNvPr>
            <xdr:cNvGraphicFramePr/>
          </xdr:nvGraphicFramePr>
          <xdr:xfrm>
            <a:off x="0" y="0"/>
            <a:ext cx="0" cy="0"/>
          </xdr:xfrm>
          <a:graphic>
            <a:graphicData uri="http://schemas.microsoft.com/office/drawing/2010/slicer">
              <sle:slicer xmlns:sle="http://schemas.microsoft.com/office/drawing/2010/slicer" name="Order Date(Year)"/>
            </a:graphicData>
          </a:graphic>
        </xdr:graphicFrame>
      </mc:Choice>
      <mc:Fallback xmlns="">
        <xdr:sp macro="" textlink="">
          <xdr:nvSpPr>
            <xdr:cNvPr id="0" name=""/>
            <xdr:cNvSpPr>
              <a:spLocks noTextEdit="1"/>
            </xdr:cNvSpPr>
          </xdr:nvSpPr>
          <xdr:spPr>
            <a:xfrm>
              <a:off x="7139940" y="350521"/>
              <a:ext cx="1844040" cy="8839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13</xdr:row>
      <xdr:rowOff>101600</xdr:rowOff>
    </xdr:from>
    <xdr:to>
      <xdr:col>6</xdr:col>
      <xdr:colOff>365760</xdr:colOff>
      <xdr:row>28</xdr:row>
      <xdr:rowOff>20320</xdr:rowOff>
    </xdr:to>
    <xdr:graphicFrame macro="">
      <xdr:nvGraphicFramePr>
        <xdr:cNvPr id="2" name="Chart 1">
          <a:extLst>
            <a:ext uri="{FF2B5EF4-FFF2-40B4-BE49-F238E27FC236}">
              <a16:creationId xmlns:a16="http://schemas.microsoft.com/office/drawing/2014/main" id="{C79AE6FB-A129-43B0-B2D3-515A8A2C2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13</xdr:row>
      <xdr:rowOff>101600</xdr:rowOff>
    </xdr:from>
    <xdr:to>
      <xdr:col>13</xdr:col>
      <xdr:colOff>342900</xdr:colOff>
      <xdr:row>28</xdr:row>
      <xdr:rowOff>0</xdr:rowOff>
    </xdr:to>
    <xdr:graphicFrame macro="">
      <xdr:nvGraphicFramePr>
        <xdr:cNvPr id="3" name="Chart 2">
          <a:extLst>
            <a:ext uri="{FF2B5EF4-FFF2-40B4-BE49-F238E27FC236}">
              <a16:creationId xmlns:a16="http://schemas.microsoft.com/office/drawing/2014/main" id="{184658D4-AAC5-439E-B7E4-CC1AD2AAD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241300</xdr:colOff>
      <xdr:row>29</xdr:row>
      <xdr:rowOff>38100</xdr:rowOff>
    </xdr:from>
    <xdr:to>
      <xdr:col>6</xdr:col>
      <xdr:colOff>403860</xdr:colOff>
      <xdr:row>44</xdr:row>
      <xdr:rowOff>0</xdr:rowOff>
    </xdr:to>
    <xdr:graphicFrame macro="">
      <xdr:nvGraphicFramePr>
        <xdr:cNvPr id="4" name="Chart 3">
          <a:extLst>
            <a:ext uri="{FF2B5EF4-FFF2-40B4-BE49-F238E27FC236}">
              <a16:creationId xmlns:a16="http://schemas.microsoft.com/office/drawing/2014/main" id="{3ADE2D6B-781B-49E9-B0BC-BD400CED6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579120</xdr:colOff>
      <xdr:row>28</xdr:row>
      <xdr:rowOff>152400</xdr:rowOff>
    </xdr:from>
    <xdr:to>
      <xdr:col>13</xdr:col>
      <xdr:colOff>355600</xdr:colOff>
      <xdr:row>43</xdr:row>
      <xdr:rowOff>147320</xdr:rowOff>
    </xdr:to>
    <xdr:graphicFrame macro="">
      <xdr:nvGraphicFramePr>
        <xdr:cNvPr id="5" name="Chart 4">
          <a:extLst>
            <a:ext uri="{FF2B5EF4-FFF2-40B4-BE49-F238E27FC236}">
              <a16:creationId xmlns:a16="http://schemas.microsoft.com/office/drawing/2014/main" id="{06F1E464-956D-4E81-A1A8-D0DBBD1BB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241300</xdr:colOff>
      <xdr:row>9</xdr:row>
      <xdr:rowOff>160020</xdr:rowOff>
    </xdr:from>
    <xdr:ext cx="2603499" cy="731520"/>
    <xdr:sp macro="" textlink="">
      <xdr:nvSpPr>
        <xdr:cNvPr id="6" name="TextBox 5">
          <a:extLst>
            <a:ext uri="{FF2B5EF4-FFF2-40B4-BE49-F238E27FC236}">
              <a16:creationId xmlns:a16="http://schemas.microsoft.com/office/drawing/2014/main" id="{246019B7-95E3-82BD-7107-1F041B997738}"/>
            </a:ext>
          </a:extLst>
        </xdr:cNvPr>
        <xdr:cNvSpPr txBox="1"/>
      </xdr:nvSpPr>
      <xdr:spPr>
        <a:xfrm>
          <a:off x="850900" y="1760220"/>
          <a:ext cx="2603499" cy="731520"/>
        </a:xfrm>
        <a:prstGeom prst="rect">
          <a:avLst/>
        </a:prstGeom>
        <a:noFill/>
        <a:ln>
          <a:solidFill>
            <a:schemeClr val="tx2">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pPr algn="ctr"/>
          <a:r>
            <a:rPr lang="en-ZA" sz="2000" b="1"/>
            <a:t>Total Revenue</a:t>
          </a:r>
        </a:p>
        <a:p>
          <a:pPr algn="ctr"/>
          <a:endParaRPr lang="en-ZA" sz="2000" b="1"/>
        </a:p>
      </xdr:txBody>
    </xdr:sp>
    <xdr:clientData/>
  </xdr:oneCellAnchor>
  <xdr:oneCellAnchor>
    <xdr:from>
      <xdr:col>3</xdr:col>
      <xdr:colOff>624840</xdr:colOff>
      <xdr:row>9</xdr:row>
      <xdr:rowOff>162560</xdr:rowOff>
    </xdr:from>
    <xdr:ext cx="2016760" cy="739140"/>
    <xdr:sp macro="" textlink="">
      <xdr:nvSpPr>
        <xdr:cNvPr id="7" name="TextBox 6">
          <a:extLst>
            <a:ext uri="{FF2B5EF4-FFF2-40B4-BE49-F238E27FC236}">
              <a16:creationId xmlns:a16="http://schemas.microsoft.com/office/drawing/2014/main" id="{645809C8-5330-1C4D-7594-2FFFF1A06A40}"/>
            </a:ext>
          </a:extLst>
        </xdr:cNvPr>
        <xdr:cNvSpPr txBox="1"/>
      </xdr:nvSpPr>
      <xdr:spPr>
        <a:xfrm>
          <a:off x="3647440" y="1762760"/>
          <a:ext cx="2016760" cy="739140"/>
        </a:xfrm>
        <a:prstGeom prst="rect">
          <a:avLst/>
        </a:prstGeom>
        <a:noFill/>
        <a:ln>
          <a:solidFill>
            <a:schemeClr val="tx2">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noAutofit/>
        </a:bodyPr>
        <a:lstStyle/>
        <a:p>
          <a:pPr algn="ctr"/>
          <a:r>
            <a:rPr lang="en-ZA" sz="2000" b="1">
              <a:solidFill>
                <a:schemeClr val="tx1"/>
              </a:solidFill>
              <a:effectLst/>
              <a:latin typeface="+mn-lt"/>
              <a:ea typeface="+mn-ea"/>
              <a:cs typeface="+mn-cs"/>
            </a:rPr>
            <a:t>Total Orders</a:t>
          </a:r>
          <a:r>
            <a:rPr lang="en-ZA" sz="2000" b="1" i="0">
              <a:solidFill>
                <a:schemeClr val="tx1"/>
              </a:solidFill>
              <a:effectLst/>
              <a:latin typeface="+mn-lt"/>
              <a:ea typeface="+mn-ea"/>
              <a:cs typeface="+mn-cs"/>
            </a:rPr>
            <a:t> </a:t>
          </a:r>
        </a:p>
      </xdr:txBody>
    </xdr:sp>
    <xdr:clientData/>
  </xdr:oneCellAnchor>
  <xdr:oneCellAnchor>
    <xdr:from>
      <xdr:col>9</xdr:col>
      <xdr:colOff>317500</xdr:colOff>
      <xdr:row>9</xdr:row>
      <xdr:rowOff>172720</xdr:rowOff>
    </xdr:from>
    <xdr:ext cx="3517900" cy="723900"/>
    <xdr:sp macro="" textlink="">
      <xdr:nvSpPr>
        <xdr:cNvPr id="9" name="TextBox 8">
          <a:extLst>
            <a:ext uri="{FF2B5EF4-FFF2-40B4-BE49-F238E27FC236}">
              <a16:creationId xmlns:a16="http://schemas.microsoft.com/office/drawing/2014/main" id="{11D313EF-D9DA-008D-4449-EF99910C496A}"/>
            </a:ext>
          </a:extLst>
        </xdr:cNvPr>
        <xdr:cNvSpPr txBox="1"/>
      </xdr:nvSpPr>
      <xdr:spPr>
        <a:xfrm>
          <a:off x="8051800" y="1772920"/>
          <a:ext cx="3517900" cy="723900"/>
        </a:xfrm>
        <a:prstGeom prst="rect">
          <a:avLst/>
        </a:prstGeom>
        <a:noFill/>
        <a:ln w="9525">
          <a:solidFill>
            <a:schemeClr val="tx2">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pPr algn="ctr"/>
          <a:r>
            <a:rPr lang="en-ZA" sz="2000" b="1" i="0" u="none" strike="noStrike">
              <a:solidFill>
                <a:schemeClr val="tx1"/>
              </a:solidFill>
              <a:effectLst/>
              <a:latin typeface="+mn-lt"/>
              <a:ea typeface="+mn-ea"/>
              <a:cs typeface="+mn-cs"/>
            </a:rPr>
            <a:t>Average Order Value(AOV)</a:t>
          </a:r>
          <a:r>
            <a:rPr lang="en-ZA" sz="2000" b="1">
              <a:effectLst/>
            </a:rPr>
            <a:t> </a:t>
          </a:r>
        </a:p>
        <a:p>
          <a:pPr algn="ctr"/>
          <a:r>
            <a:rPr lang="en-ZA" sz="2000" b="1">
              <a:effectLst/>
            </a:rPr>
            <a:t> </a:t>
          </a:r>
          <a:endParaRPr lang="en-ZA" sz="2000" b="1"/>
        </a:p>
      </xdr:txBody>
    </xdr:sp>
    <xdr:clientData/>
  </xdr:oneCellAnchor>
  <xdr:oneCellAnchor>
    <xdr:from>
      <xdr:col>5</xdr:col>
      <xdr:colOff>546100</xdr:colOff>
      <xdr:row>10</xdr:row>
      <xdr:rowOff>0</xdr:rowOff>
    </xdr:from>
    <xdr:ext cx="2006600" cy="739140"/>
    <xdr:sp macro="" textlink="">
      <xdr:nvSpPr>
        <xdr:cNvPr id="8" name="TextBox 7">
          <a:extLst>
            <a:ext uri="{FF2B5EF4-FFF2-40B4-BE49-F238E27FC236}">
              <a16:creationId xmlns:a16="http://schemas.microsoft.com/office/drawing/2014/main" id="{944EDFD1-B2EB-DE41-1FD3-182486E3114A}"/>
            </a:ext>
          </a:extLst>
        </xdr:cNvPr>
        <xdr:cNvSpPr txBox="1"/>
      </xdr:nvSpPr>
      <xdr:spPr>
        <a:xfrm>
          <a:off x="5842000" y="1778000"/>
          <a:ext cx="2006600" cy="739140"/>
        </a:xfrm>
        <a:prstGeom prst="rect">
          <a:avLst/>
        </a:prstGeom>
        <a:noFill/>
        <a:ln>
          <a:solidFill>
            <a:schemeClr val="tx2">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ctr">
          <a:noAutofit/>
        </a:bodyPr>
        <a:lstStyle/>
        <a:p>
          <a:pPr algn="ctr"/>
          <a:r>
            <a:rPr lang="en-ZA" sz="2000" b="1" i="0" u="none" strike="noStrike">
              <a:solidFill>
                <a:schemeClr val="tx1"/>
              </a:solidFill>
              <a:effectLst/>
              <a:latin typeface="+mn-lt"/>
              <a:ea typeface="+mn-ea"/>
              <a:cs typeface="+mn-cs"/>
            </a:rPr>
            <a:t> Total Customers</a:t>
          </a:r>
          <a:r>
            <a:rPr lang="en-ZA" sz="2000" b="1">
              <a:effectLst/>
            </a:rPr>
            <a:t> </a:t>
          </a:r>
        </a:p>
        <a:p>
          <a:pPr algn="ctr"/>
          <a:endParaRPr lang="en-ZA" sz="2000" b="1">
            <a:effectLst/>
          </a:endParaRPr>
        </a:p>
      </xdr:txBody>
    </xdr:sp>
    <xdr:clientData/>
  </xdr:oneCellAnchor>
  <xdr:twoCellAnchor editAs="oneCell">
    <xdr:from>
      <xdr:col>13</xdr:col>
      <xdr:colOff>502920</xdr:colOff>
      <xdr:row>14</xdr:row>
      <xdr:rowOff>116840</xdr:rowOff>
    </xdr:from>
    <xdr:to>
      <xdr:col>16</xdr:col>
      <xdr:colOff>518160</xdr:colOff>
      <xdr:row>19</xdr:row>
      <xdr:rowOff>86360</xdr:rowOff>
    </xdr:to>
    <mc:AlternateContent xmlns:mc="http://schemas.openxmlformats.org/markup-compatibility/2006">
      <mc:Choice xmlns:a14="http://schemas.microsoft.com/office/drawing/2010/main" Requires="a14">
        <xdr:graphicFrame macro="">
          <xdr:nvGraphicFramePr>
            <xdr:cNvPr id="10" name="Order Date(Year) 1">
              <a:extLst>
                <a:ext uri="{FF2B5EF4-FFF2-40B4-BE49-F238E27FC236}">
                  <a16:creationId xmlns:a16="http://schemas.microsoft.com/office/drawing/2014/main" id="{DA4C4C04-3BB2-4994-92D1-82E771D34573}"/>
                </a:ext>
              </a:extLst>
            </xdr:cNvPr>
            <xdr:cNvGraphicFramePr/>
          </xdr:nvGraphicFramePr>
          <xdr:xfrm>
            <a:off x="0" y="0"/>
            <a:ext cx="0" cy="0"/>
          </xdr:xfrm>
          <a:graphic>
            <a:graphicData uri="http://schemas.microsoft.com/office/drawing/2010/slicer">
              <sle:slicer xmlns:sle="http://schemas.microsoft.com/office/drawing/2010/slicer" name="Order Date(Year) 1"/>
            </a:graphicData>
          </a:graphic>
        </xdr:graphicFrame>
      </mc:Choice>
      <mc:Fallback>
        <xdr:sp macro="" textlink="">
          <xdr:nvSpPr>
            <xdr:cNvPr id="0" name=""/>
            <xdr:cNvSpPr>
              <a:spLocks noTextEdit="1"/>
            </xdr:cNvSpPr>
          </xdr:nvSpPr>
          <xdr:spPr>
            <a:xfrm>
              <a:off x="11767820" y="2910840"/>
              <a:ext cx="1844040" cy="8585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528320</xdr:colOff>
      <xdr:row>28</xdr:row>
      <xdr:rowOff>139700</xdr:rowOff>
    </xdr:from>
    <xdr:to>
      <xdr:col>16</xdr:col>
      <xdr:colOff>528320</xdr:colOff>
      <xdr:row>36</xdr:row>
      <xdr:rowOff>129540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23A6AD32-F25A-4755-8D42-7AC19399EF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93220" y="5422900"/>
              <a:ext cx="1828800" cy="14122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502920</xdr:colOff>
      <xdr:row>20</xdr:row>
      <xdr:rowOff>20320</xdr:rowOff>
    </xdr:from>
    <xdr:to>
      <xdr:col>16</xdr:col>
      <xdr:colOff>502920</xdr:colOff>
      <xdr:row>27</xdr:row>
      <xdr:rowOff>167640</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A6349520-0BE1-4EF9-99D2-2A6E0355EF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67820" y="3881120"/>
              <a:ext cx="1828800" cy="13919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228600</xdr:colOff>
      <xdr:row>44</xdr:row>
      <xdr:rowOff>152400</xdr:rowOff>
    </xdr:from>
    <xdr:ext cx="10782300" cy="1103495"/>
    <xdr:sp macro="" textlink="">
      <xdr:nvSpPr>
        <xdr:cNvPr id="13" name="TextBox 12">
          <a:extLst>
            <a:ext uri="{FF2B5EF4-FFF2-40B4-BE49-F238E27FC236}">
              <a16:creationId xmlns:a16="http://schemas.microsoft.com/office/drawing/2014/main" id="{B4130657-2181-67F3-843E-91FBB56E6E7D}"/>
            </a:ext>
          </a:extLst>
        </xdr:cNvPr>
        <xdr:cNvSpPr txBox="1"/>
      </xdr:nvSpPr>
      <xdr:spPr>
        <a:xfrm>
          <a:off x="838200" y="8280400"/>
          <a:ext cx="10782300" cy="1103495"/>
        </a:xfrm>
        <a:prstGeom prst="rect">
          <a:avLst/>
        </a:prstGeom>
        <a:noFill/>
        <a:ln>
          <a:solidFill>
            <a:schemeClr val="tx2">
              <a:lumMod val="40000"/>
              <a:lumOff val="6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spAutoFit/>
        </a:bodyPr>
        <a:lstStyle/>
        <a:p>
          <a:r>
            <a:rPr lang="en-ZA" sz="1500"/>
            <a:t>Revenue is highest in September</a:t>
          </a:r>
        </a:p>
        <a:p>
          <a:r>
            <a:rPr lang="en-ZA" sz="1600"/>
            <a:t>Electronics category is the primary revenue driver, significantly outperforming other categories.</a:t>
          </a:r>
        </a:p>
        <a:p>
          <a:r>
            <a:rPr lang="en-ZA" sz="1500"/>
            <a:t>Kwazulu-Natal gives</a:t>
          </a:r>
          <a:r>
            <a:rPr lang="en-ZA" sz="1500" baseline="0"/>
            <a:t> the most Revenue</a:t>
          </a:r>
        </a:p>
        <a:p>
          <a:r>
            <a:rPr lang="en-ZA" sz="1600"/>
            <a:t>Each customer placed approximately one order, indicating low repeat purchase behavior.</a:t>
          </a:r>
          <a:endParaRPr lang="en-ZA" sz="1500"/>
        </a:p>
      </xdr:txBody>
    </xdr:sp>
    <xdr:clientData/>
  </xdr:oneCellAnchor>
  <xdr:oneCellAnchor>
    <xdr:from>
      <xdr:col>3</xdr:col>
      <xdr:colOff>1127760</xdr:colOff>
      <xdr:row>4</xdr:row>
      <xdr:rowOff>0</xdr:rowOff>
    </xdr:from>
    <xdr:ext cx="4655762" cy="765466"/>
    <xdr:sp macro="" textlink="">
      <xdr:nvSpPr>
        <xdr:cNvPr id="14" name="TextBox 13">
          <a:extLst>
            <a:ext uri="{FF2B5EF4-FFF2-40B4-BE49-F238E27FC236}">
              <a16:creationId xmlns:a16="http://schemas.microsoft.com/office/drawing/2014/main" id="{C2BB8474-7654-F83F-47CA-ED9668E36916}"/>
            </a:ext>
          </a:extLst>
        </xdr:cNvPr>
        <xdr:cNvSpPr txBox="1"/>
      </xdr:nvSpPr>
      <xdr:spPr>
        <a:xfrm>
          <a:off x="3627120" y="731520"/>
          <a:ext cx="4655762" cy="765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ZA" sz="2800" b="1"/>
            <a:t>Sales Performance Dashboard</a:t>
          </a:r>
        </a:p>
        <a:p>
          <a:pPr algn="ctr"/>
          <a:r>
            <a:rPr lang="en-ZA" sz="1500"/>
            <a:t>E-commerce analytics | 2026</a:t>
          </a:r>
          <a:endParaRPr lang="en-ZA" sz="1500" b="1"/>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nin Bhom" refreshedDate="46134.473024652776" createdVersion="8" refreshedVersion="8" minRefreshableVersion="3" recordCount="500" xr:uid="{D221DF06-DE1E-46FB-BA64-388C3E1437E2}">
  <cacheSource type="worksheet">
    <worksheetSource name="Sales_Data"/>
  </cacheSource>
  <cacheFields count="12">
    <cacheField name="Order ID" numFmtId="0">
      <sharedItems/>
    </cacheField>
    <cacheField name="Order Date" numFmtId="164">
      <sharedItems count="271">
        <s v="2023-04-21"/>
        <s v="2023-01-24"/>
        <s v="2023-08-23"/>
        <s v="2023-07-04"/>
        <s v="2023-01-02"/>
        <s v="2023-12-10"/>
        <s v="2023-07-26"/>
        <s v="2023-05-12"/>
        <s v="2023-12-31"/>
        <s v="2023-01-14"/>
        <s v="2023-12-29"/>
        <s v="2023-04-03"/>
        <s v="2023-06-13"/>
        <s v="2023-11-29"/>
        <s v="2023-04-01"/>
        <s v="2023-06-22"/>
        <s v="2023-10-31"/>
        <s v="2023-02-04"/>
        <s v="2023-01-08"/>
        <s v="2023-12-11"/>
        <s v="2023-11-05"/>
        <s v="2023-04-08"/>
        <s v="2023-03-08"/>
        <s v="2023-08-19"/>
        <s v="2023-09-22"/>
        <s v="2023-05-26"/>
        <s v="2023-08-31"/>
        <s v="2023-01-11"/>
        <s v="2023-01-13"/>
        <s v="2023-08-07"/>
        <s v="2023-03-15"/>
        <s v="2023-02-17"/>
        <s v="2023-08-08"/>
        <s v="2023-11-15"/>
        <s v="2023-04-30"/>
        <s v="2023-10-30"/>
        <s v="2023-01-26"/>
        <s v="2023-08-25"/>
        <s v="2023-07-10"/>
        <s v="2023-01-05"/>
        <s v="2023-05-15"/>
        <s v="2023-11-28"/>
        <s v="2023-01-12"/>
        <s v="2023-09-30"/>
        <s v="2023-10-08"/>
        <s v="2023-05-24"/>
        <s v="2023-05-11"/>
        <s v="2023-05-04"/>
        <s v="2023-08-27"/>
        <s v="2023-12-04"/>
        <s v="2023-11-09"/>
        <s v="2023-05-22"/>
        <s v="2023-06-20"/>
        <s v="2023-06-28"/>
        <s v="2023-12-08"/>
        <s v="2023-03-05"/>
        <s v="2023-07-13"/>
        <s v="2023-09-02"/>
        <s v="2023-05-27"/>
        <s v="2023-08-11"/>
        <s v="2023-04-22"/>
        <s v="2023-03-18"/>
        <s v="2023-09-16"/>
        <s v="2023-04-13"/>
        <s v="2023-07-05"/>
        <s v="2023-05-13"/>
        <s v="2023-10-10"/>
        <s v="2023-05-21"/>
        <s v="2023-11-21"/>
        <s v="2023-12-27"/>
        <s v="2023-08-17"/>
        <s v="2023-12-28"/>
        <s v="2023-06-23"/>
        <s v="2023-05-29"/>
        <s v="2023-03-23"/>
        <s v="2023-02-24"/>
        <s v="2023-03-25"/>
        <s v="2023-09-18"/>
        <s v="2023-10-21"/>
        <s v="2023-03-09"/>
        <s v="2023-05-10"/>
        <s v="2023-10-12"/>
        <s v="2023-06-07"/>
        <s v="2023-12-22"/>
        <s v="2023-04-23"/>
        <s v="2023-08-09"/>
        <s v="2023-05-17"/>
        <s v="2023-07-29"/>
        <s v="2023-06-06"/>
        <s v="2023-02-19"/>
        <s v="2023-01-25"/>
        <s v="2023-12-12"/>
        <s v="2023-04-20"/>
        <s v="2023-07-07"/>
        <s v="2023-03-26"/>
        <s v="2023-07-02"/>
        <s v="2023-09-10"/>
        <s v="2023-07-22"/>
        <s v="2023-04-10"/>
        <s v="2023-03-31"/>
        <s v="2023-04-18"/>
        <s v="2023-02-15"/>
        <s v="2023-06-15"/>
        <s v="2023-12-30"/>
        <s v="2023-07-09"/>
        <s v="2023-09-03"/>
        <s v="2023-09-06"/>
        <s v="2023-09-20"/>
        <s v="2023-04-29"/>
        <s v="2023-04-28"/>
        <s v="2023-08-30"/>
        <s v="2023-04-15"/>
        <s v="2023-03-10"/>
        <s v="2023-01-19"/>
        <s v="2023-06-17"/>
        <s v="2023-09-26"/>
        <s v="2023-11-17"/>
        <s v="2023-01-27"/>
        <s v="2023-12-06"/>
        <s v="2023-12-18"/>
        <s v="2023-05-19"/>
        <s v="2023-06-21"/>
        <s v="2023-12-19"/>
        <s v="2023-06-24"/>
        <s v="2023-09-28"/>
        <s v="2023-09-17"/>
        <s v="2023-03-28"/>
        <s v="2023-08-24"/>
        <s v="2023-09-11"/>
        <s v="2023-10-26"/>
        <s v="2023-09-07"/>
        <s v="2023-11-26"/>
        <s v="2023-02-14"/>
        <s v="2023-09-08"/>
        <s v="2023-08-28"/>
        <s v="2023-04-06"/>
        <s v="2023-11-02"/>
        <s v="2023-09-13"/>
        <s v="2023-02-18"/>
        <s v="2023-06-08"/>
        <s v="2023-08-03"/>
        <s v="2023-01-30"/>
        <s v="2023-03-16"/>
        <s v="2023-09-27"/>
        <s v="2023-10-28"/>
        <s v="2023-12-07"/>
        <s v="2023-05-31"/>
        <s v="2023-01-07"/>
        <s v="2023-08-05"/>
        <s v="2023-01-31"/>
        <s v="2023-04-07"/>
        <s v="2023-05-07"/>
        <s v="2023-10-29"/>
        <s v="2023-11-12"/>
        <s v="2023-02-25"/>
        <s v="2023-10-01"/>
        <s v="2023-10-11"/>
        <s v="2023-04-24"/>
        <s v="2023-10-18"/>
        <s v="2024-01-01"/>
        <s v="2023-05-06"/>
        <s v="2023-07-18"/>
        <s v="2023-06-02"/>
        <s v="2023-09-09"/>
        <s v="2023-07-01"/>
        <s v="2023-01-04"/>
        <s v="2023-10-02"/>
        <s v="2023-03-13"/>
        <s v="2023-02-03"/>
        <s v="2023-06-30"/>
        <s v="2023-07-11"/>
        <s v="2023-05-05"/>
        <s v="2023-02-10"/>
        <s v="2023-03-30"/>
        <s v="2023-10-16"/>
        <s v="2023-02-27"/>
        <s v="2023-04-05"/>
        <s v="2023-11-19"/>
        <s v="2023-05-01"/>
        <s v="2023-03-14"/>
        <s v="2023-02-09"/>
        <s v="2023-07-28"/>
        <s v="2023-07-08"/>
        <s v="2023-03-03"/>
        <s v="2023-03-04"/>
        <s v="2023-04-27"/>
        <s v="2023-11-08"/>
        <s v="2023-12-26"/>
        <s v="2023-01-28"/>
        <s v="2023-07-23"/>
        <s v="2023-10-03"/>
        <s v="2023-10-20"/>
        <s v="2023-02-23"/>
        <s v="2023-06-11"/>
        <s v="2023-02-07"/>
        <s v="2023-01-09"/>
        <s v="2023-06-05"/>
        <s v="2023-05-28"/>
        <s v="2023-06-19"/>
        <s v="2023-03-20"/>
        <s v="2023-11-27"/>
        <s v="2023-04-02"/>
        <s v="2023-12-09"/>
        <s v="2023-08-06"/>
        <s v="2023-01-17"/>
        <s v="2023-06-10"/>
        <s v="2023-09-14"/>
        <s v="2023-06-01"/>
        <s v="2023-02-05"/>
        <s v="2023-04-09"/>
        <s v="2023-02-22"/>
        <s v="2023-05-20"/>
        <s v="2023-09-05"/>
        <s v="2023-11-30"/>
        <s v="2023-11-07"/>
        <s v="2023-07-31"/>
        <s v="2023-02-02"/>
        <s v="2023-07-12"/>
        <s v="2023-08-01"/>
        <s v="2023-12-13"/>
        <s v="2023-11-24"/>
        <s v="2023-09-15"/>
        <s v="2023-10-14"/>
        <s v="2023-05-08"/>
        <s v="2023-08-18"/>
        <s v="2023-10-06"/>
        <s v="2023-11-25"/>
        <s v="2023-11-22"/>
        <s v="2023-12-01"/>
        <s v="2023-07-21"/>
        <s v="2023-02-21"/>
        <s v="2023-01-20"/>
        <s v="2023-04-17"/>
        <s v="2023-08-04"/>
        <s v="2023-11-06"/>
        <s v="2023-08-21"/>
        <s v="2023-07-20"/>
        <s v="2023-06-27"/>
        <s v="2023-01-10"/>
        <s v="2023-02-08"/>
        <s v="2023-10-25"/>
        <s v="2023-11-16"/>
        <s v="2023-12-23"/>
        <s v="2023-07-25"/>
        <s v="2023-11-20"/>
        <s v="2023-07-15"/>
        <s v="2023-11-14"/>
        <s v="2023-05-02"/>
        <s v="2023-09-29"/>
        <s v="2023-01-21"/>
        <s v="2023-01-01"/>
        <s v="2023-06-04"/>
        <s v="2023-07-30"/>
        <s v="2023-07-19"/>
        <s v="2023-04-11"/>
        <s v="2023-05-09"/>
        <s v="2023-05-30"/>
        <s v="2023-08-16"/>
        <s v="2023-08-14"/>
        <s v="2023-11-04"/>
        <s v="2023-01-16"/>
        <s v="2023-10-15"/>
        <s v="2023-08-29"/>
        <s v="2023-03-02"/>
        <s v="2023-02-26"/>
        <s v="2023-07-27"/>
        <s v="2023-10-22"/>
        <s v="2023-08-20"/>
        <s v="2023-02-06"/>
        <s v="2023-01-18"/>
        <s v="2023-10-23"/>
      </sharedItems>
    </cacheField>
    <cacheField name="Customer ID" numFmtId="0">
      <sharedItems count="119">
        <s v="CUST059"/>
        <s v="CUST119"/>
        <s v="CUST113"/>
        <s v="CUST109"/>
        <s v="CUST004"/>
        <s v="CUST012"/>
        <s v="CUST048"/>
        <s v="CUST065"/>
        <s v="CUST026"/>
        <s v="CUST036"/>
        <s v="CUST073"/>
        <s v="CUST034"/>
        <s v="CUST075"/>
        <s v="CUST015"/>
        <s v="CUST005"/>
        <s v="CUST108"/>
        <s v="CUST080"/>
        <s v="CUST081"/>
        <s v="CUST084"/>
        <s v="CUST098"/>
        <s v="CUST038"/>
        <s v="CUST120"/>
        <s v="CUST099"/>
        <s v="CUST093"/>
        <s v="CUST008"/>
        <s v="CUST104"/>
        <s v="CUST114"/>
        <s v="CUST039"/>
        <s v="CUST087"/>
        <s v="CUST083"/>
        <s v="CUST042"/>
        <s v="CUST071"/>
        <s v="CUST072"/>
        <s v="CUST086"/>
        <s v="CUST003"/>
        <s v="CUST092"/>
        <s v="CUST078"/>
        <s v="CUST051"/>
        <s v="CUST035"/>
        <s v="CUST053"/>
        <s v="CUST077"/>
        <s v="CUST011"/>
        <s v="CUST076"/>
        <s v="CUST009"/>
        <s v="CUST043"/>
        <s v="CUST074"/>
        <s v="CUST014"/>
        <s v="CUST019"/>
        <s v="CUST033"/>
        <s v="CUST021"/>
        <s v="CUST058"/>
        <s v="CUST049"/>
        <s v="CUST045"/>
        <s v="CUST107"/>
        <s v="CUST063"/>
        <s v="CUST031"/>
        <s v="CUST027"/>
        <s v="CUST041"/>
        <s v="CUST037"/>
        <s v="CUST082"/>
        <s v="CUST016"/>
        <s v="CUST095"/>
        <s v="CUST054"/>
        <s v="CUST111"/>
        <s v="CUST022"/>
        <s v="CUST044"/>
        <s v="CUST106"/>
        <s v="CUST089"/>
        <s v="CUST006"/>
        <s v="CUST060"/>
        <s v="CUST079"/>
        <s v="CUST101"/>
        <s v="CUST070"/>
        <s v="CUST097"/>
        <s v="CUST056"/>
        <s v="CUST024"/>
        <s v="CUST105"/>
        <s v="CUST023"/>
        <s v="CUST118"/>
        <s v="CUST061"/>
        <s v="CUST062"/>
        <s v="CUST057"/>
        <s v="CUST117"/>
        <s v="CUST088"/>
        <s v="CUST115"/>
        <s v="CUST102"/>
        <s v="CUST007"/>
        <s v="CUST096"/>
        <s v="CUST069"/>
        <s v="CUST112"/>
        <s v="CUST040"/>
        <s v="CUST013"/>
        <s v="CUST085"/>
        <s v="CUST050"/>
        <s v="CUST116"/>
        <s v="CUST091"/>
        <s v="CUST066"/>
        <s v="CUST064"/>
        <s v="CUST103"/>
        <s v="CUST110"/>
        <s v="CUST018"/>
        <s v="CUST052"/>
        <s v="CUST046"/>
        <s v="CUST029"/>
        <s v="CUST028"/>
        <s v="CUST047"/>
        <s v="CUST032"/>
        <s v="CUST002"/>
        <s v="CUST030"/>
        <s v="CUST067"/>
        <s v="CUST001"/>
        <s v="CUST010"/>
        <s v="CUST094"/>
        <s v="CUST055"/>
        <s v="CUST025"/>
        <s v="CUST090"/>
        <s v="CUST017"/>
        <s v="CUST068"/>
        <s v="CUST100"/>
      </sharedItems>
    </cacheField>
    <cacheField name="Product" numFmtId="0">
      <sharedItems/>
    </cacheField>
    <cacheField name="Category" numFmtId="0">
      <sharedItems count="4">
        <s v="Accessories"/>
        <s v="Fashion"/>
        <s v="Home"/>
        <s v="Electronic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50.3" maxValue="1996.53"/>
    </cacheField>
    <cacheField name="Revenue" numFmtId="0">
      <sharedItems containsSemiMixedTypes="0" containsString="0" containsNumber="1" minValue="64.17" maxValue="9589.5499999999993" count="500">
        <n v="1205.7"/>
        <n v="3822.09"/>
        <n v="2441.1"/>
        <n v="6013.52"/>
        <n v="767.1"/>
        <n v="1996.53"/>
        <n v="1732.77"/>
        <n v="577.9"/>
        <n v="2875.53"/>
        <n v="1893.52"/>
        <n v="3156.99"/>
        <n v="2769.14"/>
        <n v="2496.1"/>
        <n v="5005.29"/>
        <n v="619.61"/>
        <n v="3239.28"/>
        <n v="1450.6"/>
        <n v="4018.95"/>
        <n v="2430.8000000000002"/>
        <n v="588.48"/>
        <n v="1744.8"/>
        <n v="6543.6"/>
        <n v="1093.72"/>
        <n v="5932.4"/>
        <n v="590.14"/>
        <n v="1337.17"/>
        <n v="3604.08"/>
        <n v="1901.66"/>
        <n v="1075.1199999999999"/>
        <n v="3902.04"/>
        <n v="3720.76"/>
        <n v="3397.48"/>
        <n v="1203.1500000000001"/>
        <n v="4942.92"/>
        <n v="3008.82"/>
        <n v="8835.2999999999993"/>
        <n v="3666.4"/>
        <n v="6159.36"/>
        <n v="3714.64"/>
        <n v="3279.27"/>
        <n v="1185.8499999999999"/>
        <n v="3399.1"/>
        <n v="8118.45"/>
        <n v="2939.16"/>
        <n v="5856.42"/>
        <n v="1558.92"/>
        <n v="2938.9"/>
        <n v="4193.76"/>
        <n v="5189.75"/>
        <n v="738.16"/>
        <n v="3855.7"/>
        <n v="5039.7"/>
        <n v="4203.92"/>
        <n v="2046.84"/>
        <n v="5495.52"/>
        <n v="3579.52"/>
        <n v="5340.84"/>
        <n v="561.21"/>
        <n v="2121.6"/>
        <n v="3959.28"/>
        <n v="4940.88"/>
        <n v="2435.1799999999998"/>
        <n v="635.76"/>
        <n v="441.97"/>
        <n v="1750.78"/>
        <n v="3192"/>
        <n v="188.13"/>
        <n v="4743.93"/>
        <n v="6766.85"/>
        <n v="3054"/>
        <n v="3958.76"/>
        <n v="1374.84"/>
        <n v="4910.25"/>
        <n v="375.59"/>
        <n v="4322.5200000000004"/>
        <n v="6117.72"/>
        <n v="4114.5600000000004"/>
        <n v="5314.98"/>
        <n v="4735.1499999999996"/>
        <n v="3885.84"/>
        <n v="3765.76"/>
        <n v="3595.8"/>
        <n v="1574.76"/>
        <n v="1030.04"/>
        <n v="9464.75"/>
        <n v="1984.59"/>
        <n v="3274.36"/>
        <n v="334.96"/>
        <n v="3704.76"/>
        <n v="6237.75"/>
        <n v="4807.26"/>
        <n v="1837"/>
        <n v="960.63"/>
        <n v="1974.68"/>
        <n v="6113.24"/>
        <n v="7180.8"/>
        <n v="1263.48"/>
        <n v="7675"/>
        <n v="617.1"/>
        <n v="2414.1999999999998"/>
        <n v="7461.04"/>
        <n v="3928.12"/>
        <n v="911.55"/>
        <n v="1725.16"/>
        <n v="494.6"/>
        <n v="3708.3"/>
        <n v="4410.99"/>
        <n v="603.22"/>
        <n v="3016.4"/>
        <n v="5618.64"/>
        <n v="7424.96"/>
        <n v="4749"/>
        <n v="3265.86"/>
        <n v="7983.28"/>
        <n v="3670.56"/>
        <n v="1666.57"/>
        <n v="6186.7"/>
        <n v="7022.5"/>
        <n v="3298.32"/>
        <n v="8722.7999999999993"/>
        <n v="4442.4799999999996"/>
        <n v="1217.9100000000001"/>
        <n v="3875.42"/>
        <n v="5276.25"/>
        <n v="2422.12"/>
        <n v="9472.5499999999993"/>
        <n v="4883.84"/>
        <n v="403.72"/>
        <n v="1172.0999999999999"/>
        <n v="2702.02"/>
        <n v="804.36"/>
        <n v="2147.34"/>
        <n v="3075.95"/>
        <n v="7086.32"/>
        <n v="2220.8000000000002"/>
        <n v="3454.36"/>
        <n v="1183.92"/>
        <n v="880.02"/>
        <n v="4794.7"/>
        <n v="7847.45"/>
        <n v="213.76"/>
        <n v="2172.33"/>
        <n v="126.62"/>
        <n v="1855.4"/>
        <n v="2060"/>
        <n v="2278.8200000000002"/>
        <n v="4807.59"/>
        <n v="373.55"/>
        <n v="2229.6999999999998"/>
        <n v="5838.72"/>
        <n v="79.83"/>
        <n v="181.16"/>
        <n v="2884.4"/>
        <n v="722.26"/>
        <n v="1460.01"/>
        <n v="4040.8"/>
        <n v="5793"/>
        <n v="5909.84"/>
        <n v="7789.65"/>
        <n v="3201.94"/>
        <n v="1258.17"/>
        <n v="5510.76"/>
        <n v="3237.44"/>
        <n v="5966.1"/>
        <n v="5778.24"/>
        <n v="396.12"/>
        <n v="3364"/>
        <n v="2843.18"/>
        <n v="1971.6"/>
        <n v="3844.95"/>
        <n v="1449.5"/>
        <n v="1123.8599999999999"/>
        <n v="1389.26"/>
        <n v="352.74"/>
        <n v="3249.4"/>
        <n v="4534.3500000000004"/>
        <n v="1661.25"/>
        <n v="1588.12"/>
        <n v="3420.96"/>
        <n v="6334.92"/>
        <n v="3281.9"/>
        <n v="3481.32"/>
        <n v="986.7"/>
        <n v="2034.76"/>
        <n v="1148.4000000000001"/>
        <n v="5485.64"/>
        <n v="1455.45"/>
        <n v="7224.15"/>
        <n v="1344.99"/>
        <n v="1620.03"/>
        <n v="1874.85"/>
        <n v="607.5"/>
        <n v="1297.8"/>
        <n v="466.4"/>
        <n v="1175.98"/>
        <n v="1339.28"/>
        <n v="2451.6"/>
        <n v="1885.16"/>
        <n v="323.01"/>
        <n v="6865.15"/>
        <n v="1635.82"/>
        <n v="1710.56"/>
        <n v="355.66"/>
        <n v="4534.74"/>
        <n v="1706.15"/>
        <n v="2416.02"/>
        <n v="1489.6"/>
        <n v="1921.15"/>
        <n v="9161.7999999999993"/>
        <n v="4677.6499999999996"/>
        <n v="3693.39"/>
        <n v="9132"/>
        <n v="254.2"/>
        <n v="2962.59"/>
        <n v="3108.64"/>
        <n v="5641"/>
        <n v="3020.88"/>
        <n v="8951.75"/>
        <n v="2542.0500000000002"/>
        <n v="6056.68"/>
        <n v="1114.0999999999999"/>
        <n v="701.07"/>
        <n v="2896.5"/>
        <n v="311.02"/>
        <n v="8175.65"/>
        <n v="1451.19"/>
        <n v="7272.48"/>
        <n v="345.18"/>
        <n v="7949.7"/>
        <n v="547.25"/>
        <n v="5609.2"/>
        <n v="4987.74"/>
        <n v="2100.52"/>
        <n v="1193.05"/>
        <n v="8691.0499999999993"/>
        <n v="3587.58"/>
        <n v="5498.85"/>
        <n v="2858.61"/>
        <n v="3738.69"/>
        <n v="6446.44"/>
        <n v="4567.5"/>
        <n v="1269.6400000000001"/>
        <n v="3848.66"/>
        <n v="3180.18"/>
        <n v="942.24"/>
        <n v="907.38"/>
        <n v="2165.64"/>
        <n v="2281.35"/>
        <n v="244.89"/>
        <n v="4273.2"/>
        <n v="4197.1499999999996"/>
        <n v="116.61"/>
        <n v="605.4"/>
        <n v="1832.09"/>
        <n v="5279.4"/>
        <n v="3492.6"/>
        <n v="2195.04"/>
        <n v="1798.68"/>
        <n v="5317.17"/>
        <n v="3820.47"/>
        <n v="5416.92"/>
        <n v="6306.28"/>
        <n v="7553"/>
        <n v="1224.1600000000001"/>
        <n v="1383"/>
        <n v="4903"/>
        <n v="5231.25"/>
        <n v="7243.28"/>
        <n v="897.06"/>
        <n v="856.43"/>
        <n v="1954.67"/>
        <n v="4003"/>
        <n v="961.08"/>
        <n v="1325.07"/>
        <n v="515.01"/>
        <n v="2807.28"/>
        <n v="985.4"/>
        <n v="401.16"/>
        <n v="3061.1"/>
        <n v="5738.6"/>
        <n v="9589.5499999999993"/>
        <n v="2833.04"/>
        <n v="2586.6"/>
        <n v="5041.76"/>
        <n v="2085.52"/>
        <n v="4715.5200000000004"/>
        <n v="3320.72"/>
        <n v="2937.84"/>
        <n v="7540.92"/>
        <n v="2179.92"/>
        <n v="5073.75"/>
        <n v="7141"/>
        <n v="3903.75"/>
        <n v="718.06"/>
        <n v="4624.6499999999996"/>
        <n v="8982.65"/>
        <n v="4817.72"/>
        <n v="1663.86"/>
        <n v="5400.36"/>
        <n v="1365.31"/>
        <n v="2755.74"/>
        <n v="476.15"/>
        <n v="788.52"/>
        <n v="523.58000000000004"/>
        <n v="804.52"/>
        <n v="4918.5600000000004"/>
        <n v="1157.4000000000001"/>
        <n v="696.36"/>
        <n v="4108"/>
        <n v="316.8"/>
        <n v="531.88"/>
        <n v="822.22"/>
        <n v="1954.36"/>
        <n v="1484.08"/>
        <n v="1902.2"/>
        <n v="5743.55"/>
        <n v="4543.8500000000004"/>
        <n v="1824.86"/>
        <n v="6228.76"/>
        <n v="5762.36"/>
        <n v="4160.82"/>
        <n v="1130.1600000000001"/>
        <n v="1823.6"/>
        <n v="3168.4"/>
        <n v="64.17"/>
        <n v="2978.4"/>
        <n v="3928.06"/>
        <n v="590.76"/>
        <n v="550.35"/>
        <n v="783.76"/>
        <n v="4223.01"/>
        <n v="8970.4500000000007"/>
        <n v="3859.64"/>
        <n v="1484.56"/>
        <n v="1674.44"/>
        <n v="7132.28"/>
        <n v="642.16"/>
        <n v="4378"/>
        <n v="687.13"/>
        <n v="2367.65"/>
        <n v="3355.54"/>
        <n v="3145.2"/>
        <n v="2552.88"/>
        <n v="6872.35"/>
        <n v="1130.02"/>
        <n v="3655.08"/>
        <n v="1283.43"/>
        <n v="4036.36"/>
        <n v="755.52"/>
        <n v="534.64"/>
        <n v="9159.35"/>
        <n v="609.6"/>
        <n v="784.26"/>
        <n v="999.66"/>
        <n v="715.82"/>
        <n v="2067.36"/>
        <n v="1317.22"/>
        <n v="1787.88"/>
        <n v="169.62"/>
        <n v="3645.6"/>
        <n v="1039.9100000000001"/>
        <n v="820.7"/>
        <n v="1309.44"/>
        <n v="3056.92"/>
        <n v="1224.3599999999999"/>
        <n v="1718.87"/>
        <n v="826.76"/>
        <n v="692.9"/>
        <n v="501.14"/>
        <n v="4498.2"/>
        <n v="2170.54"/>
        <n v="1219"/>
        <n v="3988.4"/>
        <n v="1499.28"/>
        <n v="4120.5"/>
        <n v="5429"/>
        <n v="2391.36"/>
        <n v="5426.75"/>
        <n v="150.9"/>
        <n v="8092.95"/>
        <n v="785.02"/>
        <n v="2429.8000000000002"/>
        <n v="3610.4"/>
        <n v="660.57"/>
        <n v="2128.88"/>
        <n v="3886"/>
        <n v="4885.88"/>
        <n v="6199.25"/>
        <n v="2570.6"/>
        <n v="5350.74"/>
        <n v="4641.95"/>
        <n v="1508.36"/>
        <n v="4852.5"/>
        <n v="1666.16"/>
        <n v="1905.11"/>
        <n v="1884.24"/>
        <n v="7421.5"/>
        <n v="1885.02"/>
        <n v="1828.47"/>
        <n v="554.70000000000005"/>
        <n v="4328.22"/>
        <n v="1943.25"/>
        <n v="1223.67"/>
        <n v="4693.5"/>
        <n v="1357.08"/>
        <n v="3822.9"/>
        <n v="1606.18"/>
        <n v="1777.64"/>
        <n v="1314.29"/>
        <n v="374.91"/>
        <n v="3161.04"/>
        <n v="83.2"/>
        <n v="4653.66"/>
        <n v="3149.25"/>
        <n v="1105"/>
        <n v="9049.15"/>
        <n v="181.35"/>
        <n v="1904.4"/>
        <n v="2519.42"/>
        <n v="1694.85"/>
        <n v="318.38"/>
        <n v="225.3"/>
        <n v="3948.66"/>
        <n v="1883.58"/>
        <n v="3725.76"/>
        <n v="5043.4799999999996"/>
        <n v="2203.6999999999998"/>
        <n v="5188.95"/>
        <n v="3876.3"/>
        <n v="2932.65"/>
        <n v="4196.16"/>
        <n v="1348.88"/>
        <n v="767.21"/>
        <n v="2360"/>
        <n v="5390.1"/>
        <n v="4800.6000000000004"/>
        <n v="1310.82"/>
        <n v="1905.16"/>
        <n v="2273.12"/>
        <n v="4363.59"/>
        <n v="4861.8599999999997"/>
        <n v="1681.51"/>
        <n v="3127.52"/>
        <n v="2981.08"/>
        <n v="1086.3"/>
        <n v="4553.5600000000004"/>
        <n v="348.35"/>
        <n v="3411.76"/>
        <n v="3337.59"/>
        <n v="4065.6"/>
        <n v="6749.96"/>
        <n v="5753.75"/>
        <n v="1515.78"/>
        <n v="7109.88"/>
        <n v="3761.42"/>
        <n v="5894.25"/>
        <n v="2782.3"/>
        <n v="1048.26"/>
        <n v="4037.46"/>
        <n v="4584.3"/>
        <n v="1821.98"/>
        <n v="1259.56"/>
        <n v="2127.65"/>
        <n v="1996.68"/>
        <n v="9299.7000000000007"/>
        <n v="7498.8"/>
        <n v="621.74"/>
        <n v="8506"/>
        <n v="5073.3999999999996"/>
        <n v="7137.32"/>
        <n v="6214.36"/>
        <n v="1670.84"/>
        <n v="1526.52"/>
        <n v="1633.8"/>
        <n v="1201.99"/>
        <n v="1214.1400000000001"/>
        <n v="1583.02"/>
        <n v="1610.41"/>
        <n v="4185.12"/>
        <n v="3069.46"/>
        <n v="1512.63"/>
        <n v="1028.05"/>
        <n v="4587.8999999999996"/>
        <n v="3601.64"/>
        <n v="2410.4"/>
        <n v="1464.36"/>
        <n v="1572.63"/>
        <n v="6423.4"/>
        <n v="4064.8"/>
        <n v="2543.91"/>
        <n v="7599.25"/>
        <n v="3053.46"/>
        <n v="1279.6199999999999"/>
        <n v="2958.7"/>
        <n v="4438.75"/>
        <n v="1460.5"/>
        <n v="1632.4"/>
        <n v="1576"/>
        <n v="8534.85"/>
        <n v="7933.35"/>
      </sharedItems>
    </cacheField>
    <cacheField name="Region" numFmtId="0">
      <sharedItems count="4">
        <s v="Gauteng"/>
        <s v="KwaZulu-Natal"/>
        <s v="Western Cape"/>
        <s v="Eastern Cape"/>
      </sharedItems>
    </cacheField>
    <cacheField name="Revenue2" numFmtId="0">
      <sharedItems containsSemiMixedTypes="0" containsString="0" containsNumber="1" minValue="64.17" maxValue="9589.5500000000011"/>
    </cacheField>
    <cacheField name="Order Date (Month)" numFmtId="0">
      <sharedItems count="12">
        <s v="Apr"/>
        <s v="Jan"/>
        <s v="Aug"/>
        <s v="Jul"/>
        <s v="Dec"/>
        <s v="May"/>
        <s v="Jun"/>
        <s v="Nov"/>
        <s v="Oct"/>
        <s v="Feb"/>
        <s v="Mar"/>
        <s v="Sept"/>
      </sharedItems>
    </cacheField>
    <cacheField name="Order Dat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9213052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nin Bhom" refreshedDate="46137.482609953702" backgroundQuery="1" createdVersion="8" refreshedVersion="8" minRefreshableVersion="3" recordCount="0" supportSubquery="1" supportAdvancedDrill="1" xr:uid="{D9B91C3F-32A2-4E27-B59F-F0A0334655BB}">
  <cacheSource type="external" connectionId="1"/>
  <cacheFields count="1">
    <cacheField name="[Measures].[Distinct Count of Customer ID]" caption="Distinct Count of Customer ID" numFmtId="0" hierarchy="18" level="32767"/>
  </cacheFields>
  <cacheHierarchies count="19">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defaultMemberUniqueName="[Sales_Data].[Order Date].[All]" allUniqueName="[Sales_Data].[Order Dat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Revenue2]" caption="Revenue2" attribute="1" defaultMemberUniqueName="[Sales_Data].[Revenue2].[All]" allUniqueName="[Sales_Data].[Revenue2].[All]" dimensionUniqueName="[Sales_Data]" displayFolder="" count="0" memberValueDatatype="5"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Year)]" caption="Order Date(Year)" attribute="1" defaultMemberUniqueName="[Sales_Data].[Order Date(Year)].[All]" allUniqueName="[Sales_Data].[Order Date(Year)].[All]" dimensionUniqueName="[Sales_Data]" displayFolder="" count="0" memberValueDatatype="20" unbalanced="0"/>
    <cacheHierarchy uniqueName="[Table2].[Metric]" caption="Metric" attribute="1" defaultMemberUniqueName="[Table2].[Metric].[All]" allUniqueName="[Table2].[Metric].[All]" dimensionUniqueName="[Table2]" displayFolder="" count="0" memberValueDatatype="130" unbalanced="0"/>
    <cacheHierarchy uniqueName="[Table2].[Numbers]" caption="Numbers" attribute="1" defaultMemberUniqueName="[Table2].[Numbers].[All]" allUniqueName="[Table2].[Numbers].[All]" dimensionUniqueName="[Table2]" displayFolder="" count="0" memberValueDatatype="5" unbalanced="0"/>
    <cacheHierarchy uniqueName="[Measures].[__XL_Count Table2]" caption="__XL_Count Table2" measure="1" displayFolder="" measureGroup="Table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Sales_Data"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Sales_Data" uniqueName="[Sales_Data]" caption="Sales_Data"/>
    <dimension name="Table2" uniqueName="[Table2]" caption="Table2"/>
  </dimensions>
  <measureGroups count="2">
    <measureGroup name="Sales_Data" caption="Sales_Data"/>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x v="0"/>
    <s v="Bag"/>
    <x v="0"/>
    <n v="1"/>
    <n v="1205.7"/>
    <x v="0"/>
    <x v="0"/>
    <n v="1205.7"/>
    <x v="0"/>
    <x v="0"/>
  </r>
  <r>
    <s v="ORD0002"/>
    <x v="1"/>
    <x v="1"/>
    <s v="Jacket"/>
    <x v="1"/>
    <n v="3"/>
    <n v="1274.03"/>
    <x v="1"/>
    <x v="0"/>
    <n v="3822.09"/>
    <x v="1"/>
    <x v="0"/>
  </r>
  <r>
    <s v="ORD0003"/>
    <x v="2"/>
    <x v="2"/>
    <s v="Bag"/>
    <x v="0"/>
    <n v="2"/>
    <n v="1220.55"/>
    <x v="2"/>
    <x v="1"/>
    <n v="2441.1"/>
    <x v="2"/>
    <x v="0"/>
  </r>
  <r>
    <s v="ORD0004"/>
    <x v="3"/>
    <x v="3"/>
    <s v="Jacket"/>
    <x v="1"/>
    <n v="4"/>
    <n v="1503.38"/>
    <x v="3"/>
    <x v="0"/>
    <n v="6013.52"/>
    <x v="3"/>
    <x v="0"/>
  </r>
  <r>
    <s v="ORD0005"/>
    <x v="4"/>
    <x v="4"/>
    <s v="Shoes"/>
    <x v="1"/>
    <n v="3"/>
    <n v="255.7"/>
    <x v="4"/>
    <x v="2"/>
    <n v="767.09999999999991"/>
    <x v="1"/>
    <x v="0"/>
  </r>
  <r>
    <s v="ORD0006"/>
    <x v="5"/>
    <x v="5"/>
    <s v="Watch"/>
    <x v="0"/>
    <n v="1"/>
    <n v="1996.53"/>
    <x v="5"/>
    <x v="1"/>
    <n v="1996.53"/>
    <x v="4"/>
    <x v="0"/>
  </r>
  <r>
    <s v="ORD0007"/>
    <x v="6"/>
    <x v="6"/>
    <s v="Table"/>
    <x v="2"/>
    <n v="3"/>
    <n v="577.59"/>
    <x v="6"/>
    <x v="2"/>
    <n v="1732.77"/>
    <x v="3"/>
    <x v="0"/>
  </r>
  <r>
    <s v="ORD0008"/>
    <x v="7"/>
    <x v="7"/>
    <s v="Jacket"/>
    <x v="1"/>
    <n v="5"/>
    <n v="115.58"/>
    <x v="7"/>
    <x v="2"/>
    <n v="577.9"/>
    <x v="5"/>
    <x v="0"/>
  </r>
  <r>
    <s v="ORD0009"/>
    <x v="8"/>
    <x v="8"/>
    <s v="Watch"/>
    <x v="0"/>
    <n v="3"/>
    <n v="958.51"/>
    <x v="8"/>
    <x v="3"/>
    <n v="2875.5299999999997"/>
    <x v="4"/>
    <x v="0"/>
  </r>
  <r>
    <s v="ORD0010"/>
    <x v="9"/>
    <x v="9"/>
    <s v="Headphones"/>
    <x v="3"/>
    <n v="2"/>
    <n v="946.76"/>
    <x v="9"/>
    <x v="3"/>
    <n v="1893.52"/>
    <x v="1"/>
    <x v="0"/>
  </r>
  <r>
    <s v="ORD0011"/>
    <x v="10"/>
    <x v="10"/>
    <s v="Headphones"/>
    <x v="3"/>
    <n v="3"/>
    <n v="1052.33"/>
    <x v="10"/>
    <x v="2"/>
    <n v="3156.99"/>
    <x v="4"/>
    <x v="0"/>
  </r>
  <r>
    <s v="ORD0012"/>
    <x v="11"/>
    <x v="11"/>
    <s v="Chair"/>
    <x v="2"/>
    <n v="2"/>
    <n v="1384.57"/>
    <x v="11"/>
    <x v="0"/>
    <n v="2769.14"/>
    <x v="0"/>
    <x v="0"/>
  </r>
  <r>
    <s v="ORD0013"/>
    <x v="12"/>
    <x v="12"/>
    <s v="Headphones"/>
    <x v="3"/>
    <n v="5"/>
    <n v="499.22"/>
    <x v="12"/>
    <x v="3"/>
    <n v="2496.1000000000004"/>
    <x v="6"/>
    <x v="0"/>
  </r>
  <r>
    <s v="ORD0014"/>
    <x v="13"/>
    <x v="13"/>
    <s v="Chair"/>
    <x v="2"/>
    <n v="3"/>
    <n v="1668.43"/>
    <x v="13"/>
    <x v="2"/>
    <n v="5005.29"/>
    <x v="7"/>
    <x v="0"/>
  </r>
  <r>
    <s v="ORD0015"/>
    <x v="14"/>
    <x v="14"/>
    <s v="Bag"/>
    <x v="0"/>
    <n v="1"/>
    <n v="619.61"/>
    <x v="14"/>
    <x v="1"/>
    <n v="619.61"/>
    <x v="0"/>
    <x v="0"/>
  </r>
  <r>
    <s v="ORD0016"/>
    <x v="12"/>
    <x v="15"/>
    <s v="Table"/>
    <x v="2"/>
    <n v="3"/>
    <n v="1079.76"/>
    <x v="15"/>
    <x v="1"/>
    <n v="3239.2799999999997"/>
    <x v="6"/>
    <x v="0"/>
  </r>
  <r>
    <s v="ORD0017"/>
    <x v="15"/>
    <x v="16"/>
    <s v="Shoes"/>
    <x v="1"/>
    <n v="5"/>
    <n v="290.12"/>
    <x v="16"/>
    <x v="0"/>
    <n v="1450.6"/>
    <x v="6"/>
    <x v="0"/>
  </r>
  <r>
    <s v="ORD0018"/>
    <x v="16"/>
    <x v="11"/>
    <s v="Table"/>
    <x v="2"/>
    <n v="5"/>
    <n v="803.79"/>
    <x v="17"/>
    <x v="2"/>
    <n v="4018.95"/>
    <x v="8"/>
    <x v="0"/>
  </r>
  <r>
    <s v="ORD0019"/>
    <x v="17"/>
    <x v="17"/>
    <s v="Phone"/>
    <x v="3"/>
    <n v="2"/>
    <n v="1215.4000000000001"/>
    <x v="18"/>
    <x v="2"/>
    <n v="2430.8000000000002"/>
    <x v="9"/>
    <x v="0"/>
  </r>
  <r>
    <s v="ORD0020"/>
    <x v="18"/>
    <x v="18"/>
    <s v="Headphones"/>
    <x v="3"/>
    <n v="2"/>
    <n v="294.24"/>
    <x v="19"/>
    <x v="2"/>
    <n v="588.48"/>
    <x v="1"/>
    <x v="0"/>
  </r>
  <r>
    <s v="ORD0021"/>
    <x v="19"/>
    <x v="7"/>
    <s v="Watch"/>
    <x v="0"/>
    <n v="1"/>
    <n v="1744.8"/>
    <x v="20"/>
    <x v="1"/>
    <n v="1744.8"/>
    <x v="4"/>
    <x v="0"/>
  </r>
  <r>
    <s v="ORD0022"/>
    <x v="20"/>
    <x v="19"/>
    <s v="Table"/>
    <x v="2"/>
    <n v="5"/>
    <n v="1308.72"/>
    <x v="21"/>
    <x v="3"/>
    <n v="6543.6"/>
    <x v="7"/>
    <x v="0"/>
  </r>
  <r>
    <s v="ORD0023"/>
    <x v="21"/>
    <x v="20"/>
    <s v="Jacket"/>
    <x v="1"/>
    <n v="1"/>
    <n v="1093.72"/>
    <x v="22"/>
    <x v="2"/>
    <n v="1093.72"/>
    <x v="0"/>
    <x v="0"/>
  </r>
  <r>
    <s v="ORD0024"/>
    <x v="22"/>
    <x v="21"/>
    <s v="Phone"/>
    <x v="3"/>
    <n v="4"/>
    <n v="1483.1"/>
    <x v="23"/>
    <x v="1"/>
    <n v="5932.4"/>
    <x v="10"/>
    <x v="0"/>
  </r>
  <r>
    <s v="ORD0025"/>
    <x v="23"/>
    <x v="22"/>
    <s v="Bag"/>
    <x v="0"/>
    <n v="2"/>
    <n v="295.07"/>
    <x v="24"/>
    <x v="2"/>
    <n v="590.14"/>
    <x v="2"/>
    <x v="0"/>
  </r>
  <r>
    <s v="ORD0026"/>
    <x v="24"/>
    <x v="23"/>
    <s v="Bag"/>
    <x v="0"/>
    <n v="1"/>
    <n v="1337.17"/>
    <x v="25"/>
    <x v="0"/>
    <n v="1337.17"/>
    <x v="11"/>
    <x v="0"/>
  </r>
  <r>
    <s v="ORD0027"/>
    <x v="25"/>
    <x v="24"/>
    <s v="Shoes"/>
    <x v="1"/>
    <n v="3"/>
    <n v="1201.3599999999999"/>
    <x v="26"/>
    <x v="2"/>
    <n v="3604.08"/>
    <x v="5"/>
    <x v="0"/>
  </r>
  <r>
    <s v="ORD0028"/>
    <x v="26"/>
    <x v="25"/>
    <s v="Headphones"/>
    <x v="3"/>
    <n v="2"/>
    <n v="950.83"/>
    <x v="27"/>
    <x v="3"/>
    <n v="1901.66"/>
    <x v="2"/>
    <x v="0"/>
  </r>
  <r>
    <s v="ORD0029"/>
    <x v="27"/>
    <x v="4"/>
    <s v="Jacket"/>
    <x v="1"/>
    <n v="2"/>
    <n v="537.55999999999995"/>
    <x v="28"/>
    <x v="3"/>
    <n v="1075.1199999999999"/>
    <x v="1"/>
    <x v="0"/>
  </r>
  <r>
    <s v="ORD0030"/>
    <x v="28"/>
    <x v="11"/>
    <s v="Laptop"/>
    <x v="3"/>
    <n v="4"/>
    <n v="975.51"/>
    <x v="29"/>
    <x v="0"/>
    <n v="3902.04"/>
    <x v="1"/>
    <x v="0"/>
  </r>
  <r>
    <s v="ORD0031"/>
    <x v="29"/>
    <x v="26"/>
    <s v="Headphones"/>
    <x v="3"/>
    <n v="2"/>
    <n v="1860.38"/>
    <x v="30"/>
    <x v="2"/>
    <n v="3720.76"/>
    <x v="2"/>
    <x v="0"/>
  </r>
  <r>
    <s v="ORD0032"/>
    <x v="30"/>
    <x v="3"/>
    <s v="Shoes"/>
    <x v="1"/>
    <n v="2"/>
    <n v="1698.74"/>
    <x v="31"/>
    <x v="0"/>
    <n v="3397.48"/>
    <x v="10"/>
    <x v="0"/>
  </r>
  <r>
    <s v="ORD0033"/>
    <x v="31"/>
    <x v="27"/>
    <s v="Watch"/>
    <x v="0"/>
    <n v="3"/>
    <n v="401.05"/>
    <x v="32"/>
    <x v="1"/>
    <n v="1203.1500000000001"/>
    <x v="9"/>
    <x v="0"/>
  </r>
  <r>
    <s v="ORD0034"/>
    <x v="32"/>
    <x v="28"/>
    <s v="Phone"/>
    <x v="3"/>
    <n v="4"/>
    <n v="1235.73"/>
    <x v="33"/>
    <x v="1"/>
    <n v="4942.92"/>
    <x v="2"/>
    <x v="0"/>
  </r>
  <r>
    <s v="ORD0035"/>
    <x v="33"/>
    <x v="29"/>
    <s v="Watch"/>
    <x v="0"/>
    <n v="2"/>
    <n v="1504.41"/>
    <x v="34"/>
    <x v="0"/>
    <n v="3008.82"/>
    <x v="7"/>
    <x v="0"/>
  </r>
  <r>
    <s v="ORD0036"/>
    <x v="34"/>
    <x v="30"/>
    <s v="Laptop"/>
    <x v="3"/>
    <n v="5"/>
    <n v="1767.06"/>
    <x v="35"/>
    <x v="1"/>
    <n v="8835.2999999999993"/>
    <x v="0"/>
    <x v="0"/>
  </r>
  <r>
    <s v="ORD0037"/>
    <x v="35"/>
    <x v="31"/>
    <s v="Phone"/>
    <x v="3"/>
    <n v="2"/>
    <n v="1833.2"/>
    <x v="36"/>
    <x v="2"/>
    <n v="3666.4"/>
    <x v="8"/>
    <x v="0"/>
  </r>
  <r>
    <s v="ORD0038"/>
    <x v="36"/>
    <x v="19"/>
    <s v="Phone"/>
    <x v="3"/>
    <n v="4"/>
    <n v="1539.84"/>
    <x v="37"/>
    <x v="1"/>
    <n v="6159.36"/>
    <x v="1"/>
    <x v="0"/>
  </r>
  <r>
    <s v="ORD0039"/>
    <x v="37"/>
    <x v="32"/>
    <s v="Jacket"/>
    <x v="1"/>
    <n v="4"/>
    <n v="928.66"/>
    <x v="38"/>
    <x v="0"/>
    <n v="3714.64"/>
    <x v="2"/>
    <x v="0"/>
  </r>
  <r>
    <s v="ORD0040"/>
    <x v="38"/>
    <x v="2"/>
    <s v="Jacket"/>
    <x v="1"/>
    <n v="3"/>
    <n v="1093.0899999999999"/>
    <x v="39"/>
    <x v="2"/>
    <n v="3279.2699999999995"/>
    <x v="3"/>
    <x v="0"/>
  </r>
  <r>
    <s v="ORD0041"/>
    <x v="39"/>
    <x v="33"/>
    <s v="Headphones"/>
    <x v="3"/>
    <n v="1"/>
    <n v="1185.8499999999999"/>
    <x v="40"/>
    <x v="0"/>
    <n v="1185.8499999999999"/>
    <x v="1"/>
    <x v="0"/>
  </r>
  <r>
    <s v="ORD0042"/>
    <x v="40"/>
    <x v="34"/>
    <s v="Phone"/>
    <x v="3"/>
    <n v="5"/>
    <n v="679.82"/>
    <x v="41"/>
    <x v="1"/>
    <n v="3399.1000000000004"/>
    <x v="5"/>
    <x v="0"/>
  </r>
  <r>
    <s v="ORD0043"/>
    <x v="41"/>
    <x v="35"/>
    <s v="Phone"/>
    <x v="3"/>
    <n v="5"/>
    <n v="1623.69"/>
    <x v="42"/>
    <x v="2"/>
    <n v="8118.4500000000007"/>
    <x v="7"/>
    <x v="0"/>
  </r>
  <r>
    <s v="ORD0044"/>
    <x v="42"/>
    <x v="4"/>
    <s v="Bag"/>
    <x v="0"/>
    <n v="4"/>
    <n v="734.79"/>
    <x v="43"/>
    <x v="0"/>
    <n v="2939.16"/>
    <x v="1"/>
    <x v="0"/>
  </r>
  <r>
    <s v="ORD0045"/>
    <x v="43"/>
    <x v="6"/>
    <s v="Jacket"/>
    <x v="1"/>
    <n v="3"/>
    <n v="1952.14"/>
    <x v="44"/>
    <x v="2"/>
    <n v="5856.42"/>
    <x v="11"/>
    <x v="0"/>
  </r>
  <r>
    <s v="ORD0046"/>
    <x v="44"/>
    <x v="36"/>
    <s v="Bag"/>
    <x v="0"/>
    <n v="3"/>
    <n v="519.64"/>
    <x v="45"/>
    <x v="3"/>
    <n v="1558.92"/>
    <x v="8"/>
    <x v="0"/>
  </r>
  <r>
    <s v="ORD0047"/>
    <x v="45"/>
    <x v="37"/>
    <s v="Shoes"/>
    <x v="1"/>
    <n v="2"/>
    <n v="1469.45"/>
    <x v="46"/>
    <x v="1"/>
    <n v="2938.9"/>
    <x v="5"/>
    <x v="0"/>
  </r>
  <r>
    <s v="ORD0048"/>
    <x v="46"/>
    <x v="38"/>
    <s v="Phone"/>
    <x v="3"/>
    <n v="3"/>
    <n v="1397.92"/>
    <x v="47"/>
    <x v="3"/>
    <n v="4193.76"/>
    <x v="5"/>
    <x v="0"/>
  </r>
  <r>
    <s v="ORD0049"/>
    <x v="47"/>
    <x v="21"/>
    <s v="Headphones"/>
    <x v="3"/>
    <n v="5"/>
    <n v="1037.95"/>
    <x v="48"/>
    <x v="2"/>
    <n v="5189.75"/>
    <x v="5"/>
    <x v="0"/>
  </r>
  <r>
    <s v="ORD0050"/>
    <x v="48"/>
    <x v="7"/>
    <s v="Laptop"/>
    <x v="3"/>
    <n v="2"/>
    <n v="369.08"/>
    <x v="49"/>
    <x v="0"/>
    <n v="738.16"/>
    <x v="2"/>
    <x v="0"/>
  </r>
  <r>
    <s v="ORD0051"/>
    <x v="49"/>
    <x v="39"/>
    <s v="Watch"/>
    <x v="0"/>
    <n v="5"/>
    <n v="771.14"/>
    <x v="50"/>
    <x v="0"/>
    <n v="3855.7"/>
    <x v="4"/>
    <x v="0"/>
  </r>
  <r>
    <s v="ORD0052"/>
    <x v="50"/>
    <x v="40"/>
    <s v="Table"/>
    <x v="2"/>
    <n v="5"/>
    <n v="1007.94"/>
    <x v="51"/>
    <x v="2"/>
    <n v="5039.7000000000007"/>
    <x v="7"/>
    <x v="0"/>
  </r>
  <r>
    <s v="ORD0053"/>
    <x v="51"/>
    <x v="41"/>
    <s v="Chair"/>
    <x v="2"/>
    <n v="4"/>
    <n v="1050.98"/>
    <x v="52"/>
    <x v="2"/>
    <n v="4203.92"/>
    <x v="5"/>
    <x v="0"/>
  </r>
  <r>
    <s v="ORD0054"/>
    <x v="52"/>
    <x v="18"/>
    <s v="Laptop"/>
    <x v="3"/>
    <n v="2"/>
    <n v="1023.42"/>
    <x v="53"/>
    <x v="0"/>
    <n v="2046.84"/>
    <x v="6"/>
    <x v="0"/>
  </r>
  <r>
    <s v="ORD0055"/>
    <x v="53"/>
    <x v="42"/>
    <s v="Watch"/>
    <x v="0"/>
    <n v="3"/>
    <n v="1831.84"/>
    <x v="54"/>
    <x v="2"/>
    <n v="5495.5199999999995"/>
    <x v="6"/>
    <x v="0"/>
  </r>
  <r>
    <s v="ORD0056"/>
    <x v="54"/>
    <x v="43"/>
    <s v="Table"/>
    <x v="2"/>
    <n v="2"/>
    <n v="1789.76"/>
    <x v="55"/>
    <x v="3"/>
    <n v="3579.52"/>
    <x v="4"/>
    <x v="0"/>
  </r>
  <r>
    <s v="ORD0057"/>
    <x v="55"/>
    <x v="44"/>
    <s v="Bag"/>
    <x v="0"/>
    <n v="4"/>
    <n v="1335.21"/>
    <x v="56"/>
    <x v="2"/>
    <n v="5340.84"/>
    <x v="10"/>
    <x v="0"/>
  </r>
  <r>
    <s v="ORD0058"/>
    <x v="56"/>
    <x v="45"/>
    <s v="Watch"/>
    <x v="0"/>
    <n v="1"/>
    <n v="561.21"/>
    <x v="57"/>
    <x v="1"/>
    <n v="561.21"/>
    <x v="3"/>
    <x v="0"/>
  </r>
  <r>
    <s v="ORD0059"/>
    <x v="57"/>
    <x v="46"/>
    <s v="Laptop"/>
    <x v="3"/>
    <n v="5"/>
    <n v="424.32"/>
    <x v="58"/>
    <x v="2"/>
    <n v="2121.6"/>
    <x v="11"/>
    <x v="0"/>
  </r>
  <r>
    <s v="ORD0060"/>
    <x v="58"/>
    <x v="47"/>
    <s v="Watch"/>
    <x v="0"/>
    <n v="4"/>
    <n v="989.82"/>
    <x v="59"/>
    <x v="2"/>
    <n v="3959.28"/>
    <x v="5"/>
    <x v="0"/>
  </r>
  <r>
    <s v="ORD0061"/>
    <x v="59"/>
    <x v="21"/>
    <s v="Headphones"/>
    <x v="3"/>
    <n v="4"/>
    <n v="1235.22"/>
    <x v="60"/>
    <x v="0"/>
    <n v="4940.88"/>
    <x v="2"/>
    <x v="0"/>
  </r>
  <r>
    <s v="ORD0062"/>
    <x v="60"/>
    <x v="43"/>
    <s v="Headphones"/>
    <x v="3"/>
    <n v="2"/>
    <n v="1217.5899999999999"/>
    <x v="61"/>
    <x v="1"/>
    <n v="2435.1799999999998"/>
    <x v="0"/>
    <x v="0"/>
  </r>
  <r>
    <s v="ORD0063"/>
    <x v="61"/>
    <x v="9"/>
    <s v="Bag"/>
    <x v="0"/>
    <n v="2"/>
    <n v="317.88"/>
    <x v="62"/>
    <x v="3"/>
    <n v="635.76"/>
    <x v="10"/>
    <x v="0"/>
  </r>
  <r>
    <s v="ORD0064"/>
    <x v="62"/>
    <x v="48"/>
    <s v="Chair"/>
    <x v="2"/>
    <n v="1"/>
    <n v="441.97"/>
    <x v="63"/>
    <x v="2"/>
    <n v="441.97"/>
    <x v="11"/>
    <x v="0"/>
  </r>
  <r>
    <s v="ORD0065"/>
    <x v="47"/>
    <x v="49"/>
    <s v="Phone"/>
    <x v="3"/>
    <n v="1"/>
    <n v="1750.78"/>
    <x v="64"/>
    <x v="0"/>
    <n v="1750.78"/>
    <x v="5"/>
    <x v="0"/>
  </r>
  <r>
    <s v="ORD0066"/>
    <x v="63"/>
    <x v="32"/>
    <s v="Bag"/>
    <x v="0"/>
    <n v="5"/>
    <n v="638.4"/>
    <x v="65"/>
    <x v="1"/>
    <n v="3192"/>
    <x v="0"/>
    <x v="0"/>
  </r>
  <r>
    <s v="ORD0067"/>
    <x v="64"/>
    <x v="50"/>
    <s v="Table"/>
    <x v="2"/>
    <n v="3"/>
    <n v="62.71"/>
    <x v="66"/>
    <x v="3"/>
    <n v="188.13"/>
    <x v="3"/>
    <x v="0"/>
  </r>
  <r>
    <s v="ORD0068"/>
    <x v="3"/>
    <x v="51"/>
    <s v="Watch"/>
    <x v="0"/>
    <n v="3"/>
    <n v="1581.31"/>
    <x v="67"/>
    <x v="1"/>
    <n v="4743.93"/>
    <x v="3"/>
    <x v="0"/>
  </r>
  <r>
    <s v="ORD0069"/>
    <x v="65"/>
    <x v="52"/>
    <s v="Jacket"/>
    <x v="1"/>
    <n v="5"/>
    <n v="1353.37"/>
    <x v="68"/>
    <x v="0"/>
    <n v="6766.8499999999995"/>
    <x v="5"/>
    <x v="0"/>
  </r>
  <r>
    <s v="ORD0070"/>
    <x v="18"/>
    <x v="26"/>
    <s v="Bag"/>
    <x v="0"/>
    <n v="3"/>
    <n v="1018"/>
    <x v="69"/>
    <x v="2"/>
    <n v="3054"/>
    <x v="1"/>
    <x v="0"/>
  </r>
  <r>
    <s v="ORD0071"/>
    <x v="66"/>
    <x v="25"/>
    <s v="Chair"/>
    <x v="2"/>
    <n v="2"/>
    <n v="1979.38"/>
    <x v="70"/>
    <x v="2"/>
    <n v="3958.76"/>
    <x v="8"/>
    <x v="0"/>
  </r>
  <r>
    <s v="ORD0072"/>
    <x v="67"/>
    <x v="53"/>
    <s v="Jacket"/>
    <x v="1"/>
    <n v="2"/>
    <n v="687.42"/>
    <x v="71"/>
    <x v="3"/>
    <n v="1374.84"/>
    <x v="5"/>
    <x v="0"/>
  </r>
  <r>
    <s v="ORD0073"/>
    <x v="68"/>
    <x v="32"/>
    <s v="Watch"/>
    <x v="0"/>
    <n v="3"/>
    <n v="1636.75"/>
    <x v="72"/>
    <x v="2"/>
    <n v="4910.25"/>
    <x v="7"/>
    <x v="0"/>
  </r>
  <r>
    <s v="ORD0074"/>
    <x v="69"/>
    <x v="52"/>
    <s v="Phone"/>
    <x v="3"/>
    <n v="1"/>
    <n v="375.59"/>
    <x v="73"/>
    <x v="2"/>
    <n v="375.59"/>
    <x v="4"/>
    <x v="0"/>
  </r>
  <r>
    <s v="ORD0075"/>
    <x v="56"/>
    <x v="37"/>
    <s v="Headphones"/>
    <x v="3"/>
    <n v="3"/>
    <n v="1440.84"/>
    <x v="74"/>
    <x v="3"/>
    <n v="4322.5199999999995"/>
    <x v="3"/>
    <x v="0"/>
  </r>
  <r>
    <s v="ORD0076"/>
    <x v="52"/>
    <x v="54"/>
    <s v="Shoes"/>
    <x v="1"/>
    <n v="4"/>
    <n v="1529.43"/>
    <x v="75"/>
    <x v="2"/>
    <n v="6117.72"/>
    <x v="6"/>
    <x v="0"/>
  </r>
  <r>
    <s v="ORD0077"/>
    <x v="12"/>
    <x v="55"/>
    <s v="Phone"/>
    <x v="3"/>
    <n v="3"/>
    <n v="1371.52"/>
    <x v="76"/>
    <x v="3"/>
    <n v="4114.5599999999995"/>
    <x v="6"/>
    <x v="0"/>
  </r>
  <r>
    <s v="ORD0078"/>
    <x v="70"/>
    <x v="56"/>
    <s v="Phone"/>
    <x v="3"/>
    <n v="3"/>
    <n v="1771.66"/>
    <x v="77"/>
    <x v="2"/>
    <n v="5314.9800000000005"/>
    <x v="2"/>
    <x v="0"/>
  </r>
  <r>
    <s v="ORD0079"/>
    <x v="71"/>
    <x v="25"/>
    <s v="Table"/>
    <x v="2"/>
    <n v="5"/>
    <n v="947.03"/>
    <x v="78"/>
    <x v="3"/>
    <n v="4735.1499999999996"/>
    <x v="4"/>
    <x v="0"/>
  </r>
  <r>
    <s v="ORD0080"/>
    <x v="72"/>
    <x v="44"/>
    <s v="Phone"/>
    <x v="3"/>
    <n v="4"/>
    <n v="971.46"/>
    <x v="79"/>
    <x v="0"/>
    <n v="3885.84"/>
    <x v="6"/>
    <x v="0"/>
  </r>
  <r>
    <s v="ORD0081"/>
    <x v="73"/>
    <x v="57"/>
    <s v="Table"/>
    <x v="2"/>
    <n v="2"/>
    <n v="1882.88"/>
    <x v="80"/>
    <x v="0"/>
    <n v="3765.76"/>
    <x v="5"/>
    <x v="0"/>
  </r>
  <r>
    <s v="ORD0082"/>
    <x v="74"/>
    <x v="21"/>
    <s v="Phone"/>
    <x v="3"/>
    <n v="5"/>
    <n v="719.16"/>
    <x v="81"/>
    <x v="0"/>
    <n v="3595.7999999999997"/>
    <x v="10"/>
    <x v="0"/>
  </r>
  <r>
    <s v="ORD0083"/>
    <x v="21"/>
    <x v="18"/>
    <s v="Chair"/>
    <x v="2"/>
    <n v="3"/>
    <n v="524.91999999999996"/>
    <x v="82"/>
    <x v="0"/>
    <n v="1574.7599999999998"/>
    <x v="0"/>
    <x v="0"/>
  </r>
  <r>
    <s v="ORD0084"/>
    <x v="45"/>
    <x v="21"/>
    <s v="Jacket"/>
    <x v="1"/>
    <n v="2"/>
    <n v="515.02"/>
    <x v="83"/>
    <x v="2"/>
    <n v="1030.04"/>
    <x v="5"/>
    <x v="0"/>
  </r>
  <r>
    <s v="ORD0085"/>
    <x v="16"/>
    <x v="15"/>
    <s v="Phone"/>
    <x v="3"/>
    <n v="5"/>
    <n v="1892.95"/>
    <x v="84"/>
    <x v="3"/>
    <n v="9464.75"/>
    <x v="8"/>
    <x v="0"/>
  </r>
  <r>
    <s v="ORD0086"/>
    <x v="75"/>
    <x v="58"/>
    <s v="Shoes"/>
    <x v="1"/>
    <n v="3"/>
    <n v="661.53"/>
    <x v="85"/>
    <x v="0"/>
    <n v="1984.59"/>
    <x v="9"/>
    <x v="0"/>
  </r>
  <r>
    <s v="ORD0087"/>
    <x v="76"/>
    <x v="59"/>
    <s v="Watch"/>
    <x v="0"/>
    <n v="2"/>
    <n v="1637.18"/>
    <x v="86"/>
    <x v="3"/>
    <n v="3274.36"/>
    <x v="10"/>
    <x v="0"/>
  </r>
  <r>
    <s v="ORD0088"/>
    <x v="77"/>
    <x v="35"/>
    <s v="Phone"/>
    <x v="3"/>
    <n v="4"/>
    <n v="83.74"/>
    <x v="87"/>
    <x v="0"/>
    <n v="334.96"/>
    <x v="11"/>
    <x v="0"/>
  </r>
  <r>
    <s v="ORD0089"/>
    <x v="78"/>
    <x v="60"/>
    <s v="Watch"/>
    <x v="0"/>
    <n v="4"/>
    <n v="926.19"/>
    <x v="88"/>
    <x v="2"/>
    <n v="3704.76"/>
    <x v="8"/>
    <x v="0"/>
  </r>
  <r>
    <s v="ORD0090"/>
    <x v="79"/>
    <x v="50"/>
    <s v="Laptop"/>
    <x v="3"/>
    <n v="5"/>
    <n v="1247.55"/>
    <x v="89"/>
    <x v="0"/>
    <n v="6237.75"/>
    <x v="10"/>
    <x v="0"/>
  </r>
  <r>
    <s v="ORD0091"/>
    <x v="43"/>
    <x v="39"/>
    <s v="Jacket"/>
    <x v="1"/>
    <n v="3"/>
    <n v="1602.42"/>
    <x v="90"/>
    <x v="2"/>
    <n v="4807.26"/>
    <x v="11"/>
    <x v="0"/>
  </r>
  <r>
    <s v="ORD0092"/>
    <x v="80"/>
    <x v="61"/>
    <s v="Phone"/>
    <x v="3"/>
    <n v="2"/>
    <n v="918.5"/>
    <x v="91"/>
    <x v="1"/>
    <n v="1837"/>
    <x v="5"/>
    <x v="0"/>
  </r>
  <r>
    <s v="ORD0093"/>
    <x v="81"/>
    <x v="14"/>
    <s v="Watch"/>
    <x v="0"/>
    <n v="3"/>
    <n v="320.20999999999998"/>
    <x v="92"/>
    <x v="1"/>
    <n v="960.62999999999988"/>
    <x v="8"/>
    <x v="0"/>
  </r>
  <r>
    <s v="ORD0094"/>
    <x v="82"/>
    <x v="62"/>
    <s v="Chair"/>
    <x v="2"/>
    <n v="4"/>
    <n v="493.67"/>
    <x v="93"/>
    <x v="3"/>
    <n v="1974.68"/>
    <x v="6"/>
    <x v="0"/>
  </r>
  <r>
    <s v="ORD0095"/>
    <x v="83"/>
    <x v="63"/>
    <s v="Shoes"/>
    <x v="1"/>
    <n v="4"/>
    <n v="1528.31"/>
    <x v="94"/>
    <x v="2"/>
    <n v="6113.24"/>
    <x v="4"/>
    <x v="0"/>
  </r>
  <r>
    <s v="ORD0096"/>
    <x v="84"/>
    <x v="63"/>
    <s v="Phone"/>
    <x v="3"/>
    <n v="5"/>
    <n v="1436.16"/>
    <x v="95"/>
    <x v="2"/>
    <n v="7180.8"/>
    <x v="0"/>
    <x v="0"/>
  </r>
  <r>
    <s v="ORD0097"/>
    <x v="85"/>
    <x v="64"/>
    <s v="Headphones"/>
    <x v="3"/>
    <n v="4"/>
    <n v="315.87"/>
    <x v="96"/>
    <x v="0"/>
    <n v="1263.48"/>
    <x v="2"/>
    <x v="0"/>
  </r>
  <r>
    <s v="ORD0098"/>
    <x v="86"/>
    <x v="65"/>
    <s v="Laptop"/>
    <x v="3"/>
    <n v="4"/>
    <n v="1918.75"/>
    <x v="97"/>
    <x v="3"/>
    <n v="7675"/>
    <x v="5"/>
    <x v="0"/>
  </r>
  <r>
    <s v="ORD0099"/>
    <x v="78"/>
    <x v="66"/>
    <s v="Watch"/>
    <x v="0"/>
    <n v="3"/>
    <n v="205.7"/>
    <x v="98"/>
    <x v="0"/>
    <n v="617.09999999999991"/>
    <x v="8"/>
    <x v="0"/>
  </r>
  <r>
    <s v="ORD0100"/>
    <x v="87"/>
    <x v="59"/>
    <s v="Bag"/>
    <x v="0"/>
    <n v="4"/>
    <n v="603.54999999999995"/>
    <x v="99"/>
    <x v="1"/>
    <n v="2414.1999999999998"/>
    <x v="3"/>
    <x v="0"/>
  </r>
  <r>
    <s v="ORD0101"/>
    <x v="88"/>
    <x v="67"/>
    <s v="Bag"/>
    <x v="0"/>
    <n v="4"/>
    <n v="1865.26"/>
    <x v="100"/>
    <x v="2"/>
    <n v="7461.04"/>
    <x v="6"/>
    <x v="0"/>
  </r>
  <r>
    <s v="ORD0102"/>
    <x v="16"/>
    <x v="57"/>
    <s v="Chair"/>
    <x v="2"/>
    <n v="2"/>
    <n v="1964.06"/>
    <x v="101"/>
    <x v="2"/>
    <n v="3928.12"/>
    <x v="8"/>
    <x v="0"/>
  </r>
  <r>
    <s v="ORD0103"/>
    <x v="89"/>
    <x v="68"/>
    <s v="Bag"/>
    <x v="0"/>
    <n v="3"/>
    <n v="303.85000000000002"/>
    <x v="102"/>
    <x v="1"/>
    <n v="911.55000000000007"/>
    <x v="9"/>
    <x v="0"/>
  </r>
  <r>
    <s v="ORD0104"/>
    <x v="90"/>
    <x v="69"/>
    <s v="Headphones"/>
    <x v="3"/>
    <n v="1"/>
    <n v="1725.16"/>
    <x v="103"/>
    <x v="2"/>
    <n v="1725.16"/>
    <x v="1"/>
    <x v="0"/>
  </r>
  <r>
    <s v="ORD0105"/>
    <x v="91"/>
    <x v="70"/>
    <s v="Laptop"/>
    <x v="3"/>
    <n v="1"/>
    <n v="494.6"/>
    <x v="104"/>
    <x v="0"/>
    <n v="494.6"/>
    <x v="4"/>
    <x v="0"/>
  </r>
  <r>
    <s v="ORD0106"/>
    <x v="92"/>
    <x v="9"/>
    <s v="Phone"/>
    <x v="3"/>
    <n v="2"/>
    <n v="1854.15"/>
    <x v="105"/>
    <x v="0"/>
    <n v="3708.3"/>
    <x v="0"/>
    <x v="0"/>
  </r>
  <r>
    <s v="ORD0107"/>
    <x v="64"/>
    <x v="71"/>
    <s v="Table"/>
    <x v="2"/>
    <n v="3"/>
    <n v="1470.33"/>
    <x v="106"/>
    <x v="3"/>
    <n v="4410.99"/>
    <x v="3"/>
    <x v="0"/>
  </r>
  <r>
    <s v="ORD0108"/>
    <x v="46"/>
    <x v="26"/>
    <s v="Table"/>
    <x v="2"/>
    <n v="2"/>
    <n v="301.61"/>
    <x v="107"/>
    <x v="3"/>
    <n v="603.22"/>
    <x v="5"/>
    <x v="0"/>
  </r>
  <r>
    <s v="ORD0109"/>
    <x v="93"/>
    <x v="6"/>
    <s v="Phone"/>
    <x v="3"/>
    <n v="5"/>
    <n v="603.28"/>
    <x v="108"/>
    <x v="0"/>
    <n v="3016.3999999999996"/>
    <x v="3"/>
    <x v="0"/>
  </r>
  <r>
    <s v="ORD0110"/>
    <x v="25"/>
    <x v="44"/>
    <s v="Bag"/>
    <x v="0"/>
    <n v="3"/>
    <n v="1872.88"/>
    <x v="109"/>
    <x v="3"/>
    <n v="5618.64"/>
    <x v="5"/>
    <x v="0"/>
  </r>
  <r>
    <s v="ORD0111"/>
    <x v="94"/>
    <x v="65"/>
    <s v="Bag"/>
    <x v="0"/>
    <n v="4"/>
    <n v="1856.24"/>
    <x v="110"/>
    <x v="1"/>
    <n v="7424.96"/>
    <x v="10"/>
    <x v="0"/>
  </r>
  <r>
    <s v="ORD0112"/>
    <x v="95"/>
    <x v="48"/>
    <s v="Chair"/>
    <x v="2"/>
    <n v="5"/>
    <n v="949.8"/>
    <x v="111"/>
    <x v="3"/>
    <n v="4749"/>
    <x v="3"/>
    <x v="0"/>
  </r>
  <r>
    <s v="ORD0113"/>
    <x v="63"/>
    <x v="54"/>
    <s v="Jacket"/>
    <x v="1"/>
    <n v="2"/>
    <n v="1632.93"/>
    <x v="112"/>
    <x v="1"/>
    <n v="3265.86"/>
    <x v="0"/>
    <x v="0"/>
  </r>
  <r>
    <s v="ORD0114"/>
    <x v="78"/>
    <x v="72"/>
    <s v="Watch"/>
    <x v="0"/>
    <n v="4"/>
    <n v="1995.82"/>
    <x v="113"/>
    <x v="3"/>
    <n v="7983.28"/>
    <x v="8"/>
    <x v="0"/>
  </r>
  <r>
    <s v="ORD0115"/>
    <x v="96"/>
    <x v="16"/>
    <s v="Shoes"/>
    <x v="1"/>
    <n v="4"/>
    <n v="917.64"/>
    <x v="114"/>
    <x v="2"/>
    <n v="3670.56"/>
    <x v="11"/>
    <x v="0"/>
  </r>
  <r>
    <s v="ORD0116"/>
    <x v="97"/>
    <x v="73"/>
    <s v="Shoes"/>
    <x v="1"/>
    <n v="1"/>
    <n v="1666.57"/>
    <x v="115"/>
    <x v="3"/>
    <n v="1666.57"/>
    <x v="3"/>
    <x v="0"/>
  </r>
  <r>
    <s v="ORD0117"/>
    <x v="98"/>
    <x v="74"/>
    <s v="Shoes"/>
    <x v="1"/>
    <n v="5"/>
    <n v="1237.3399999999999"/>
    <x v="116"/>
    <x v="3"/>
    <n v="6186.7"/>
    <x v="0"/>
    <x v="0"/>
  </r>
  <r>
    <s v="ORD0118"/>
    <x v="99"/>
    <x v="75"/>
    <s v="Chair"/>
    <x v="2"/>
    <n v="5"/>
    <n v="1404.5"/>
    <x v="117"/>
    <x v="1"/>
    <n v="7022.5"/>
    <x v="10"/>
    <x v="0"/>
  </r>
  <r>
    <s v="ORD0119"/>
    <x v="100"/>
    <x v="31"/>
    <s v="Headphones"/>
    <x v="3"/>
    <n v="4"/>
    <n v="824.58"/>
    <x v="118"/>
    <x v="2"/>
    <n v="3298.32"/>
    <x v="0"/>
    <x v="0"/>
  </r>
  <r>
    <s v="ORD0120"/>
    <x v="101"/>
    <x v="17"/>
    <s v="Jacket"/>
    <x v="1"/>
    <n v="5"/>
    <n v="1744.56"/>
    <x v="119"/>
    <x v="0"/>
    <n v="8722.7999999999993"/>
    <x v="9"/>
    <x v="0"/>
  </r>
  <r>
    <s v="ORD0121"/>
    <x v="102"/>
    <x v="65"/>
    <s v="Headphones"/>
    <x v="3"/>
    <n v="4"/>
    <n v="1110.6199999999999"/>
    <x v="120"/>
    <x v="0"/>
    <n v="4442.4799999999996"/>
    <x v="6"/>
    <x v="0"/>
  </r>
  <r>
    <s v="ORD0122"/>
    <x v="103"/>
    <x v="40"/>
    <s v="Jacket"/>
    <x v="1"/>
    <n v="1"/>
    <n v="1217.9100000000001"/>
    <x v="121"/>
    <x v="2"/>
    <n v="1217.9100000000001"/>
    <x v="4"/>
    <x v="0"/>
  </r>
  <r>
    <s v="ORD0123"/>
    <x v="104"/>
    <x v="71"/>
    <s v="Phone"/>
    <x v="3"/>
    <n v="2"/>
    <n v="1937.71"/>
    <x v="122"/>
    <x v="1"/>
    <n v="3875.42"/>
    <x v="3"/>
    <x v="0"/>
  </r>
  <r>
    <s v="ORD0124"/>
    <x v="105"/>
    <x v="52"/>
    <s v="Watch"/>
    <x v="0"/>
    <n v="3"/>
    <n v="1758.75"/>
    <x v="123"/>
    <x v="0"/>
    <n v="5276.25"/>
    <x v="11"/>
    <x v="0"/>
  </r>
  <r>
    <s v="ORD0125"/>
    <x v="2"/>
    <x v="15"/>
    <s v="Watch"/>
    <x v="0"/>
    <n v="4"/>
    <n v="605.53"/>
    <x v="124"/>
    <x v="0"/>
    <n v="2422.12"/>
    <x v="2"/>
    <x v="0"/>
  </r>
  <r>
    <s v="ORD0126"/>
    <x v="106"/>
    <x v="42"/>
    <s v="Phone"/>
    <x v="3"/>
    <n v="5"/>
    <n v="1894.51"/>
    <x v="125"/>
    <x v="3"/>
    <n v="9472.5499999999993"/>
    <x v="11"/>
    <x v="0"/>
  </r>
  <r>
    <s v="ORD0127"/>
    <x v="107"/>
    <x v="76"/>
    <s v="Headphones"/>
    <x v="3"/>
    <n v="4"/>
    <n v="1220.96"/>
    <x v="126"/>
    <x v="2"/>
    <n v="4883.84"/>
    <x v="11"/>
    <x v="0"/>
  </r>
  <r>
    <s v="ORD0128"/>
    <x v="108"/>
    <x v="77"/>
    <s v="Bag"/>
    <x v="0"/>
    <n v="2"/>
    <n v="201.86"/>
    <x v="127"/>
    <x v="0"/>
    <n v="403.72"/>
    <x v="0"/>
    <x v="0"/>
  </r>
  <r>
    <s v="ORD0129"/>
    <x v="109"/>
    <x v="78"/>
    <s v="Bag"/>
    <x v="0"/>
    <n v="1"/>
    <n v="1172.0999999999999"/>
    <x v="128"/>
    <x v="1"/>
    <n v="1172.0999999999999"/>
    <x v="0"/>
    <x v="0"/>
  </r>
  <r>
    <s v="ORD0130"/>
    <x v="109"/>
    <x v="79"/>
    <s v="Watch"/>
    <x v="0"/>
    <n v="2"/>
    <n v="1351.01"/>
    <x v="129"/>
    <x v="0"/>
    <n v="2702.02"/>
    <x v="0"/>
    <x v="0"/>
  </r>
  <r>
    <s v="ORD0131"/>
    <x v="110"/>
    <x v="76"/>
    <s v="Table"/>
    <x v="2"/>
    <n v="3"/>
    <n v="268.12"/>
    <x v="130"/>
    <x v="3"/>
    <n v="804.36"/>
    <x v="2"/>
    <x v="0"/>
  </r>
  <r>
    <s v="ORD0132"/>
    <x v="111"/>
    <x v="31"/>
    <s v="Headphones"/>
    <x v="3"/>
    <n v="3"/>
    <n v="715.78"/>
    <x v="131"/>
    <x v="0"/>
    <n v="2147.34"/>
    <x v="0"/>
    <x v="0"/>
  </r>
  <r>
    <s v="ORD0133"/>
    <x v="104"/>
    <x v="28"/>
    <s v="Bag"/>
    <x v="0"/>
    <n v="5"/>
    <n v="615.19000000000005"/>
    <x v="132"/>
    <x v="1"/>
    <n v="3075.9500000000003"/>
    <x v="3"/>
    <x v="0"/>
  </r>
  <r>
    <s v="ORD0134"/>
    <x v="112"/>
    <x v="80"/>
    <s v="Phone"/>
    <x v="3"/>
    <n v="4"/>
    <n v="1771.58"/>
    <x v="133"/>
    <x v="1"/>
    <n v="7086.32"/>
    <x v="10"/>
    <x v="0"/>
  </r>
  <r>
    <s v="ORD0135"/>
    <x v="113"/>
    <x v="8"/>
    <s v="Headphones"/>
    <x v="3"/>
    <n v="5"/>
    <n v="444.16"/>
    <x v="134"/>
    <x v="3"/>
    <n v="2220.8000000000002"/>
    <x v="1"/>
    <x v="0"/>
  </r>
  <r>
    <s v="ORD0136"/>
    <x v="114"/>
    <x v="81"/>
    <s v="Table"/>
    <x v="2"/>
    <n v="2"/>
    <n v="1727.18"/>
    <x v="135"/>
    <x v="3"/>
    <n v="3454.36"/>
    <x v="6"/>
    <x v="0"/>
  </r>
  <r>
    <s v="ORD0137"/>
    <x v="115"/>
    <x v="82"/>
    <s v="Watch"/>
    <x v="0"/>
    <n v="4"/>
    <n v="295.98"/>
    <x v="136"/>
    <x v="1"/>
    <n v="1183.92"/>
    <x v="11"/>
    <x v="0"/>
  </r>
  <r>
    <s v="ORD0138"/>
    <x v="99"/>
    <x v="40"/>
    <s v="Jacket"/>
    <x v="1"/>
    <n v="2"/>
    <n v="440.01"/>
    <x v="137"/>
    <x v="0"/>
    <n v="880.02"/>
    <x v="10"/>
    <x v="0"/>
  </r>
  <r>
    <s v="ORD0139"/>
    <x v="116"/>
    <x v="83"/>
    <s v="Shoes"/>
    <x v="1"/>
    <n v="5"/>
    <n v="958.94"/>
    <x v="138"/>
    <x v="2"/>
    <n v="4794.7000000000007"/>
    <x v="7"/>
    <x v="0"/>
  </r>
  <r>
    <s v="ORD0140"/>
    <x v="117"/>
    <x v="84"/>
    <s v="Watch"/>
    <x v="0"/>
    <n v="5"/>
    <n v="1569.49"/>
    <x v="139"/>
    <x v="0"/>
    <n v="7847.45"/>
    <x v="1"/>
    <x v="0"/>
  </r>
  <r>
    <s v="ORD0141"/>
    <x v="118"/>
    <x v="85"/>
    <s v="Bag"/>
    <x v="0"/>
    <n v="4"/>
    <n v="53.44"/>
    <x v="140"/>
    <x v="1"/>
    <n v="213.76"/>
    <x v="4"/>
    <x v="0"/>
  </r>
  <r>
    <s v="ORD0142"/>
    <x v="74"/>
    <x v="69"/>
    <s v="Headphones"/>
    <x v="3"/>
    <n v="3"/>
    <n v="724.11"/>
    <x v="141"/>
    <x v="2"/>
    <n v="2172.33"/>
    <x v="10"/>
    <x v="0"/>
  </r>
  <r>
    <s v="ORD0143"/>
    <x v="119"/>
    <x v="48"/>
    <s v="Bag"/>
    <x v="0"/>
    <n v="2"/>
    <n v="63.31"/>
    <x v="142"/>
    <x v="2"/>
    <n v="126.62"/>
    <x v="4"/>
    <x v="0"/>
  </r>
  <r>
    <s v="ORD0144"/>
    <x v="35"/>
    <x v="71"/>
    <s v="Bag"/>
    <x v="0"/>
    <n v="2"/>
    <n v="927.7"/>
    <x v="143"/>
    <x v="1"/>
    <n v="1855.4"/>
    <x v="8"/>
    <x v="0"/>
  </r>
  <r>
    <s v="ORD0145"/>
    <x v="120"/>
    <x v="86"/>
    <s v="Phone"/>
    <x v="3"/>
    <n v="5"/>
    <n v="412"/>
    <x v="144"/>
    <x v="2"/>
    <n v="2060"/>
    <x v="5"/>
    <x v="0"/>
  </r>
  <r>
    <s v="ORD0146"/>
    <x v="121"/>
    <x v="51"/>
    <s v="Shoes"/>
    <x v="1"/>
    <n v="2"/>
    <n v="1139.4100000000001"/>
    <x v="145"/>
    <x v="3"/>
    <n v="2278.8200000000002"/>
    <x v="6"/>
    <x v="0"/>
  </r>
  <r>
    <s v="ORD0147"/>
    <x v="30"/>
    <x v="10"/>
    <s v="Shoes"/>
    <x v="1"/>
    <n v="3"/>
    <n v="1602.53"/>
    <x v="146"/>
    <x v="3"/>
    <n v="4807.59"/>
    <x v="10"/>
    <x v="0"/>
  </r>
  <r>
    <s v="ORD0148"/>
    <x v="59"/>
    <x v="81"/>
    <s v="Shoes"/>
    <x v="1"/>
    <n v="5"/>
    <n v="74.709999999999994"/>
    <x v="147"/>
    <x v="0"/>
    <n v="373.54999999999995"/>
    <x v="2"/>
    <x v="0"/>
  </r>
  <r>
    <s v="ORD0149"/>
    <x v="98"/>
    <x v="1"/>
    <s v="Table"/>
    <x v="2"/>
    <n v="5"/>
    <n v="445.94"/>
    <x v="148"/>
    <x v="1"/>
    <n v="2229.6999999999998"/>
    <x v="0"/>
    <x v="0"/>
  </r>
  <r>
    <s v="ORD0150"/>
    <x v="122"/>
    <x v="87"/>
    <s v="Watch"/>
    <x v="0"/>
    <n v="4"/>
    <n v="1459.68"/>
    <x v="149"/>
    <x v="2"/>
    <n v="5838.72"/>
    <x v="4"/>
    <x v="0"/>
  </r>
  <r>
    <s v="ORD0151"/>
    <x v="123"/>
    <x v="55"/>
    <s v="Table"/>
    <x v="2"/>
    <n v="1"/>
    <n v="79.83"/>
    <x v="150"/>
    <x v="0"/>
    <n v="79.83"/>
    <x v="6"/>
    <x v="0"/>
  </r>
  <r>
    <s v="ORD0152"/>
    <x v="124"/>
    <x v="74"/>
    <s v="Bag"/>
    <x v="0"/>
    <n v="1"/>
    <n v="181.16"/>
    <x v="151"/>
    <x v="3"/>
    <n v="181.16"/>
    <x v="11"/>
    <x v="0"/>
  </r>
  <r>
    <s v="ORD0153"/>
    <x v="62"/>
    <x v="44"/>
    <s v="Watch"/>
    <x v="0"/>
    <n v="5"/>
    <n v="576.88"/>
    <x v="152"/>
    <x v="3"/>
    <n v="2884.4"/>
    <x v="11"/>
    <x v="0"/>
  </r>
  <r>
    <s v="ORD0154"/>
    <x v="125"/>
    <x v="88"/>
    <s v="Chair"/>
    <x v="2"/>
    <n v="1"/>
    <n v="722.26"/>
    <x v="153"/>
    <x v="2"/>
    <n v="722.26"/>
    <x v="11"/>
    <x v="0"/>
  </r>
  <r>
    <s v="ORD0155"/>
    <x v="126"/>
    <x v="77"/>
    <s v="Bag"/>
    <x v="0"/>
    <n v="1"/>
    <n v="1460.01"/>
    <x v="154"/>
    <x v="3"/>
    <n v="1460.01"/>
    <x v="10"/>
    <x v="0"/>
  </r>
  <r>
    <s v="ORD0156"/>
    <x v="17"/>
    <x v="24"/>
    <s v="Chair"/>
    <x v="2"/>
    <n v="5"/>
    <n v="808.16"/>
    <x v="155"/>
    <x v="1"/>
    <n v="4040.7999999999997"/>
    <x v="9"/>
    <x v="0"/>
  </r>
  <r>
    <s v="ORD0157"/>
    <x v="127"/>
    <x v="69"/>
    <s v="Headphones"/>
    <x v="3"/>
    <n v="5"/>
    <n v="1158.5999999999999"/>
    <x v="156"/>
    <x v="1"/>
    <n v="5793"/>
    <x v="2"/>
    <x v="0"/>
  </r>
  <r>
    <s v="ORD0158"/>
    <x v="31"/>
    <x v="24"/>
    <s v="Phone"/>
    <x v="3"/>
    <n v="4"/>
    <n v="1477.46"/>
    <x v="157"/>
    <x v="2"/>
    <n v="5909.84"/>
    <x v="9"/>
    <x v="0"/>
  </r>
  <r>
    <s v="ORD0159"/>
    <x v="128"/>
    <x v="89"/>
    <s v="Shoes"/>
    <x v="1"/>
    <n v="5"/>
    <n v="1557.93"/>
    <x v="158"/>
    <x v="1"/>
    <n v="7789.6500000000005"/>
    <x v="11"/>
    <x v="0"/>
  </r>
  <r>
    <s v="ORD0160"/>
    <x v="129"/>
    <x v="89"/>
    <s v="Jacket"/>
    <x v="1"/>
    <n v="2"/>
    <n v="1600.97"/>
    <x v="159"/>
    <x v="2"/>
    <n v="3201.94"/>
    <x v="8"/>
    <x v="0"/>
  </r>
  <r>
    <s v="ORD0161"/>
    <x v="69"/>
    <x v="6"/>
    <s v="Laptop"/>
    <x v="3"/>
    <n v="3"/>
    <n v="419.39"/>
    <x v="160"/>
    <x v="1"/>
    <n v="1258.17"/>
    <x v="4"/>
    <x v="0"/>
  </r>
  <r>
    <s v="ORD0162"/>
    <x v="105"/>
    <x v="90"/>
    <s v="Headphones"/>
    <x v="3"/>
    <n v="4"/>
    <n v="1377.69"/>
    <x v="161"/>
    <x v="0"/>
    <n v="5510.76"/>
    <x v="11"/>
    <x v="0"/>
  </r>
  <r>
    <s v="ORD0163"/>
    <x v="18"/>
    <x v="0"/>
    <s v="Table"/>
    <x v="2"/>
    <n v="2"/>
    <n v="1618.72"/>
    <x v="162"/>
    <x v="3"/>
    <n v="3237.44"/>
    <x v="1"/>
    <x v="0"/>
  </r>
  <r>
    <s v="ORD0164"/>
    <x v="108"/>
    <x v="91"/>
    <s v="Shoes"/>
    <x v="1"/>
    <n v="3"/>
    <n v="1988.7"/>
    <x v="163"/>
    <x v="3"/>
    <n v="5966.1"/>
    <x v="0"/>
    <x v="0"/>
  </r>
  <r>
    <s v="ORD0165"/>
    <x v="130"/>
    <x v="92"/>
    <s v="Headphones"/>
    <x v="3"/>
    <n v="3"/>
    <n v="1926.08"/>
    <x v="164"/>
    <x v="3"/>
    <n v="5778.24"/>
    <x v="11"/>
    <x v="0"/>
  </r>
  <r>
    <s v="ORD0166"/>
    <x v="131"/>
    <x v="16"/>
    <s v="Headphones"/>
    <x v="3"/>
    <n v="3"/>
    <n v="132.04"/>
    <x v="165"/>
    <x v="2"/>
    <n v="396.12"/>
    <x v="7"/>
    <x v="0"/>
  </r>
  <r>
    <s v="ORD0167"/>
    <x v="132"/>
    <x v="85"/>
    <s v="Phone"/>
    <x v="3"/>
    <n v="4"/>
    <n v="841"/>
    <x v="166"/>
    <x v="3"/>
    <n v="3364"/>
    <x v="9"/>
    <x v="0"/>
  </r>
  <r>
    <s v="ORD0168"/>
    <x v="42"/>
    <x v="34"/>
    <s v="Chair"/>
    <x v="2"/>
    <n v="2"/>
    <n v="1421.59"/>
    <x v="167"/>
    <x v="3"/>
    <n v="2843.18"/>
    <x v="1"/>
    <x v="0"/>
  </r>
  <r>
    <s v="ORD0169"/>
    <x v="6"/>
    <x v="14"/>
    <s v="Shoes"/>
    <x v="1"/>
    <n v="1"/>
    <n v="1971.6"/>
    <x v="168"/>
    <x v="0"/>
    <n v="1971.6"/>
    <x v="3"/>
    <x v="0"/>
  </r>
  <r>
    <s v="ORD0170"/>
    <x v="51"/>
    <x v="93"/>
    <s v="Jacket"/>
    <x v="1"/>
    <n v="5"/>
    <n v="768.99"/>
    <x v="169"/>
    <x v="2"/>
    <n v="3844.95"/>
    <x v="5"/>
    <x v="0"/>
  </r>
  <r>
    <s v="ORD0171"/>
    <x v="133"/>
    <x v="23"/>
    <s v="Chair"/>
    <x v="2"/>
    <n v="2"/>
    <n v="724.75"/>
    <x v="170"/>
    <x v="3"/>
    <n v="1449.5"/>
    <x v="11"/>
    <x v="0"/>
  </r>
  <r>
    <s v="ORD0172"/>
    <x v="134"/>
    <x v="80"/>
    <s v="Laptop"/>
    <x v="3"/>
    <n v="1"/>
    <n v="1123.8599999999999"/>
    <x v="171"/>
    <x v="1"/>
    <n v="1123.8599999999999"/>
    <x v="2"/>
    <x v="0"/>
  </r>
  <r>
    <s v="ORD0173"/>
    <x v="135"/>
    <x v="94"/>
    <s v="Watch"/>
    <x v="0"/>
    <n v="1"/>
    <n v="1389.26"/>
    <x v="172"/>
    <x v="3"/>
    <n v="1389.26"/>
    <x v="0"/>
    <x v="0"/>
  </r>
  <r>
    <s v="ORD0174"/>
    <x v="136"/>
    <x v="79"/>
    <s v="Table"/>
    <x v="2"/>
    <n v="2"/>
    <n v="176.37"/>
    <x v="173"/>
    <x v="0"/>
    <n v="352.74"/>
    <x v="7"/>
    <x v="0"/>
  </r>
  <r>
    <s v="ORD0175"/>
    <x v="137"/>
    <x v="86"/>
    <s v="Jacket"/>
    <x v="1"/>
    <n v="5"/>
    <n v="649.88"/>
    <x v="174"/>
    <x v="3"/>
    <n v="3249.4"/>
    <x v="11"/>
    <x v="0"/>
  </r>
  <r>
    <s v="ORD0176"/>
    <x v="21"/>
    <x v="47"/>
    <s v="Shoes"/>
    <x v="1"/>
    <n v="3"/>
    <n v="1511.45"/>
    <x v="175"/>
    <x v="2"/>
    <n v="4534.3500000000004"/>
    <x v="0"/>
    <x v="0"/>
  </r>
  <r>
    <s v="ORD0177"/>
    <x v="138"/>
    <x v="48"/>
    <s v="Table"/>
    <x v="2"/>
    <n v="3"/>
    <n v="553.75"/>
    <x v="176"/>
    <x v="2"/>
    <n v="1661.25"/>
    <x v="9"/>
    <x v="0"/>
  </r>
  <r>
    <s v="ORD0178"/>
    <x v="139"/>
    <x v="2"/>
    <s v="Bag"/>
    <x v="0"/>
    <n v="2"/>
    <n v="794.06"/>
    <x v="177"/>
    <x v="3"/>
    <n v="1588.12"/>
    <x v="6"/>
    <x v="0"/>
  </r>
  <r>
    <s v="ORD0179"/>
    <x v="140"/>
    <x v="8"/>
    <s v="Chair"/>
    <x v="2"/>
    <n v="2"/>
    <n v="1710.48"/>
    <x v="178"/>
    <x v="0"/>
    <n v="3420.96"/>
    <x v="2"/>
    <x v="0"/>
  </r>
  <r>
    <s v="ORD0180"/>
    <x v="78"/>
    <x v="2"/>
    <s v="Table"/>
    <x v="2"/>
    <n v="4"/>
    <n v="1583.73"/>
    <x v="179"/>
    <x v="0"/>
    <n v="6334.92"/>
    <x v="8"/>
    <x v="0"/>
  </r>
  <r>
    <s v="ORD0181"/>
    <x v="141"/>
    <x v="68"/>
    <s v="Phone"/>
    <x v="3"/>
    <n v="5"/>
    <n v="656.38"/>
    <x v="180"/>
    <x v="1"/>
    <n v="3281.9"/>
    <x v="1"/>
    <x v="0"/>
  </r>
  <r>
    <s v="ORD0182"/>
    <x v="123"/>
    <x v="24"/>
    <s v="Watch"/>
    <x v="0"/>
    <n v="4"/>
    <n v="870.33"/>
    <x v="181"/>
    <x v="0"/>
    <n v="3481.32"/>
    <x v="6"/>
    <x v="0"/>
  </r>
  <r>
    <s v="ORD0183"/>
    <x v="142"/>
    <x v="91"/>
    <s v="Chair"/>
    <x v="2"/>
    <n v="5"/>
    <n v="197.34"/>
    <x v="182"/>
    <x v="2"/>
    <n v="986.7"/>
    <x v="10"/>
    <x v="0"/>
  </r>
  <r>
    <s v="ORD0184"/>
    <x v="143"/>
    <x v="95"/>
    <s v="Jacket"/>
    <x v="1"/>
    <n v="4"/>
    <n v="508.69"/>
    <x v="183"/>
    <x v="2"/>
    <n v="2034.76"/>
    <x v="11"/>
    <x v="0"/>
  </r>
  <r>
    <s v="ORD0185"/>
    <x v="97"/>
    <x v="2"/>
    <s v="Headphones"/>
    <x v="3"/>
    <n v="1"/>
    <n v="1148.4000000000001"/>
    <x v="184"/>
    <x v="2"/>
    <n v="1148.4000000000001"/>
    <x v="3"/>
    <x v="0"/>
  </r>
  <r>
    <s v="ORD0186"/>
    <x v="144"/>
    <x v="79"/>
    <s v="Jacket"/>
    <x v="1"/>
    <n v="4"/>
    <n v="1371.41"/>
    <x v="185"/>
    <x v="3"/>
    <n v="5485.64"/>
    <x v="8"/>
    <x v="0"/>
  </r>
  <r>
    <s v="ORD0187"/>
    <x v="52"/>
    <x v="83"/>
    <s v="Chair"/>
    <x v="2"/>
    <n v="1"/>
    <n v="1455.45"/>
    <x v="186"/>
    <x v="3"/>
    <n v="1455.45"/>
    <x v="6"/>
    <x v="0"/>
  </r>
  <r>
    <s v="ORD0188"/>
    <x v="145"/>
    <x v="96"/>
    <s v="Bag"/>
    <x v="0"/>
    <n v="5"/>
    <n v="1444.83"/>
    <x v="187"/>
    <x v="0"/>
    <n v="7224.15"/>
    <x v="4"/>
    <x v="0"/>
  </r>
  <r>
    <s v="ORD0189"/>
    <x v="146"/>
    <x v="74"/>
    <s v="Watch"/>
    <x v="0"/>
    <n v="1"/>
    <n v="1344.99"/>
    <x v="188"/>
    <x v="3"/>
    <n v="1344.99"/>
    <x v="5"/>
    <x v="0"/>
  </r>
  <r>
    <s v="ORD0190"/>
    <x v="147"/>
    <x v="96"/>
    <s v="Phone"/>
    <x v="3"/>
    <n v="3"/>
    <n v="540.01"/>
    <x v="189"/>
    <x v="2"/>
    <n v="1620.03"/>
    <x v="1"/>
    <x v="0"/>
  </r>
  <r>
    <s v="ORD0191"/>
    <x v="148"/>
    <x v="88"/>
    <s v="Phone"/>
    <x v="3"/>
    <n v="3"/>
    <n v="624.95000000000005"/>
    <x v="190"/>
    <x v="1"/>
    <n v="1874.8500000000001"/>
    <x v="2"/>
    <x v="0"/>
  </r>
  <r>
    <s v="ORD0192"/>
    <x v="149"/>
    <x v="64"/>
    <s v="Watch"/>
    <x v="0"/>
    <n v="3"/>
    <n v="202.5"/>
    <x v="191"/>
    <x v="2"/>
    <n v="607.5"/>
    <x v="1"/>
    <x v="0"/>
  </r>
  <r>
    <s v="ORD0193"/>
    <x v="150"/>
    <x v="97"/>
    <s v="Headphones"/>
    <x v="3"/>
    <n v="2"/>
    <n v="648.9"/>
    <x v="192"/>
    <x v="0"/>
    <n v="1297.8"/>
    <x v="0"/>
    <x v="0"/>
  </r>
  <r>
    <s v="ORD0194"/>
    <x v="108"/>
    <x v="10"/>
    <s v="Table"/>
    <x v="2"/>
    <n v="2"/>
    <n v="233.2"/>
    <x v="193"/>
    <x v="2"/>
    <n v="466.4"/>
    <x v="0"/>
    <x v="0"/>
  </r>
  <r>
    <s v="ORD0195"/>
    <x v="151"/>
    <x v="25"/>
    <s v="Headphones"/>
    <x v="3"/>
    <n v="1"/>
    <n v="1175.98"/>
    <x v="194"/>
    <x v="1"/>
    <n v="1175.98"/>
    <x v="5"/>
    <x v="0"/>
  </r>
  <r>
    <s v="ORD0196"/>
    <x v="152"/>
    <x v="86"/>
    <s v="Jacket"/>
    <x v="1"/>
    <n v="2"/>
    <n v="669.64"/>
    <x v="195"/>
    <x v="1"/>
    <n v="1339.28"/>
    <x v="8"/>
    <x v="0"/>
  </r>
  <r>
    <s v="ORD0197"/>
    <x v="153"/>
    <x v="50"/>
    <s v="Headphones"/>
    <x v="3"/>
    <n v="2"/>
    <n v="1225.8"/>
    <x v="196"/>
    <x v="3"/>
    <n v="2451.6"/>
    <x v="7"/>
    <x v="0"/>
  </r>
  <r>
    <s v="ORD0198"/>
    <x v="66"/>
    <x v="69"/>
    <s v="Jacket"/>
    <x v="1"/>
    <n v="4"/>
    <n v="471.29"/>
    <x v="197"/>
    <x v="3"/>
    <n v="1885.16"/>
    <x v="8"/>
    <x v="0"/>
  </r>
  <r>
    <s v="ORD0199"/>
    <x v="9"/>
    <x v="90"/>
    <s v="Bag"/>
    <x v="0"/>
    <n v="3"/>
    <n v="107.67"/>
    <x v="198"/>
    <x v="0"/>
    <n v="323.01"/>
    <x v="1"/>
    <x v="0"/>
  </r>
  <r>
    <s v="ORD0200"/>
    <x v="152"/>
    <x v="34"/>
    <s v="Phone"/>
    <x v="3"/>
    <n v="5"/>
    <n v="1373.03"/>
    <x v="199"/>
    <x v="0"/>
    <n v="6865.15"/>
    <x v="8"/>
    <x v="0"/>
  </r>
  <r>
    <s v="ORD0201"/>
    <x v="154"/>
    <x v="98"/>
    <s v="Chair"/>
    <x v="2"/>
    <n v="1"/>
    <n v="1635.82"/>
    <x v="200"/>
    <x v="3"/>
    <n v="1635.82"/>
    <x v="9"/>
    <x v="0"/>
  </r>
  <r>
    <s v="ORD0202"/>
    <x v="155"/>
    <x v="55"/>
    <s v="Bag"/>
    <x v="0"/>
    <n v="4"/>
    <n v="427.64"/>
    <x v="201"/>
    <x v="0"/>
    <n v="1710.56"/>
    <x v="8"/>
    <x v="0"/>
  </r>
  <r>
    <s v="ORD0203"/>
    <x v="118"/>
    <x v="87"/>
    <s v="Phone"/>
    <x v="3"/>
    <n v="2"/>
    <n v="177.83"/>
    <x v="202"/>
    <x v="0"/>
    <n v="355.66"/>
    <x v="4"/>
    <x v="0"/>
  </r>
  <r>
    <s v="ORD0204"/>
    <x v="156"/>
    <x v="72"/>
    <s v="Laptop"/>
    <x v="3"/>
    <n v="3"/>
    <n v="1511.58"/>
    <x v="203"/>
    <x v="0"/>
    <n v="4534.74"/>
    <x v="8"/>
    <x v="0"/>
  </r>
  <r>
    <s v="ORD0205"/>
    <x v="157"/>
    <x v="37"/>
    <s v="Watch"/>
    <x v="0"/>
    <n v="1"/>
    <n v="1706.15"/>
    <x v="204"/>
    <x v="2"/>
    <n v="1706.15"/>
    <x v="0"/>
    <x v="0"/>
  </r>
  <r>
    <s v="ORD0206"/>
    <x v="158"/>
    <x v="74"/>
    <s v="Phone"/>
    <x v="3"/>
    <n v="2"/>
    <n v="1208.01"/>
    <x v="205"/>
    <x v="2"/>
    <n v="2416.02"/>
    <x v="8"/>
    <x v="0"/>
  </r>
  <r>
    <s v="ORD0207"/>
    <x v="159"/>
    <x v="7"/>
    <s v="Shoes"/>
    <x v="1"/>
    <n v="1"/>
    <n v="1489.6"/>
    <x v="206"/>
    <x v="1"/>
    <n v="1489.6"/>
    <x v="1"/>
    <x v="1"/>
  </r>
  <r>
    <s v="ORD0208"/>
    <x v="160"/>
    <x v="99"/>
    <s v="Phone"/>
    <x v="3"/>
    <n v="5"/>
    <n v="384.23"/>
    <x v="207"/>
    <x v="0"/>
    <n v="1921.15"/>
    <x v="5"/>
    <x v="0"/>
  </r>
  <r>
    <s v="ORD0209"/>
    <x v="103"/>
    <x v="100"/>
    <s v="Headphones"/>
    <x v="3"/>
    <n v="5"/>
    <n v="1832.36"/>
    <x v="208"/>
    <x v="1"/>
    <n v="9161.7999999999993"/>
    <x v="4"/>
    <x v="0"/>
  </r>
  <r>
    <s v="ORD0210"/>
    <x v="143"/>
    <x v="101"/>
    <s v="Phone"/>
    <x v="3"/>
    <n v="5"/>
    <n v="935.53"/>
    <x v="209"/>
    <x v="2"/>
    <n v="4677.6499999999996"/>
    <x v="11"/>
    <x v="0"/>
  </r>
  <r>
    <s v="ORD0211"/>
    <x v="40"/>
    <x v="37"/>
    <s v="Table"/>
    <x v="2"/>
    <n v="3"/>
    <n v="1231.1300000000001"/>
    <x v="210"/>
    <x v="3"/>
    <n v="3693.3900000000003"/>
    <x v="5"/>
    <x v="0"/>
  </r>
  <r>
    <s v="ORD0212"/>
    <x v="10"/>
    <x v="62"/>
    <s v="Table"/>
    <x v="2"/>
    <n v="5"/>
    <n v="1826.4"/>
    <x v="211"/>
    <x v="3"/>
    <n v="9132"/>
    <x v="4"/>
    <x v="0"/>
  </r>
  <r>
    <s v="ORD0213"/>
    <x v="161"/>
    <x v="58"/>
    <s v="Bag"/>
    <x v="0"/>
    <n v="2"/>
    <n v="127.1"/>
    <x v="212"/>
    <x v="2"/>
    <n v="254.2"/>
    <x v="3"/>
    <x v="0"/>
  </r>
  <r>
    <s v="ORD0214"/>
    <x v="26"/>
    <x v="32"/>
    <s v="Jacket"/>
    <x v="1"/>
    <n v="3"/>
    <n v="987.53"/>
    <x v="213"/>
    <x v="1"/>
    <n v="2962.59"/>
    <x v="2"/>
    <x v="0"/>
  </r>
  <r>
    <s v="ORD0215"/>
    <x v="162"/>
    <x v="47"/>
    <s v="Chair"/>
    <x v="2"/>
    <n v="4"/>
    <n v="777.16"/>
    <x v="214"/>
    <x v="0"/>
    <n v="3108.64"/>
    <x v="6"/>
    <x v="0"/>
  </r>
  <r>
    <s v="ORD0216"/>
    <x v="53"/>
    <x v="22"/>
    <s v="Laptop"/>
    <x v="3"/>
    <n v="4"/>
    <n v="1410.25"/>
    <x v="215"/>
    <x v="0"/>
    <n v="5641"/>
    <x v="6"/>
    <x v="0"/>
  </r>
  <r>
    <s v="ORD0217"/>
    <x v="24"/>
    <x v="86"/>
    <s v="Phone"/>
    <x v="3"/>
    <n v="2"/>
    <n v="1510.44"/>
    <x v="216"/>
    <x v="1"/>
    <n v="3020.88"/>
    <x v="11"/>
    <x v="0"/>
  </r>
  <r>
    <s v="ORD0218"/>
    <x v="163"/>
    <x v="87"/>
    <s v="Bag"/>
    <x v="0"/>
    <n v="5"/>
    <n v="1790.35"/>
    <x v="217"/>
    <x v="1"/>
    <n v="8951.75"/>
    <x v="11"/>
    <x v="0"/>
  </r>
  <r>
    <s v="ORD0219"/>
    <x v="164"/>
    <x v="66"/>
    <s v="Shoes"/>
    <x v="1"/>
    <n v="3"/>
    <n v="847.35"/>
    <x v="218"/>
    <x v="1"/>
    <n v="2542.0500000000002"/>
    <x v="3"/>
    <x v="0"/>
  </r>
  <r>
    <s v="ORD0220"/>
    <x v="165"/>
    <x v="27"/>
    <s v="Laptop"/>
    <x v="3"/>
    <n v="4"/>
    <n v="1514.17"/>
    <x v="219"/>
    <x v="0"/>
    <n v="6056.68"/>
    <x v="1"/>
    <x v="0"/>
  </r>
  <r>
    <s v="ORD0221"/>
    <x v="166"/>
    <x v="36"/>
    <s v="Jacket"/>
    <x v="1"/>
    <n v="2"/>
    <n v="557.04999999999995"/>
    <x v="220"/>
    <x v="2"/>
    <n v="1114.0999999999999"/>
    <x v="8"/>
    <x v="0"/>
  </r>
  <r>
    <s v="ORD0222"/>
    <x v="142"/>
    <x v="57"/>
    <s v="Watch"/>
    <x v="0"/>
    <n v="3"/>
    <n v="233.69"/>
    <x v="221"/>
    <x v="0"/>
    <n v="701.06999999999994"/>
    <x v="10"/>
    <x v="0"/>
  </r>
  <r>
    <s v="ORD0223"/>
    <x v="100"/>
    <x v="40"/>
    <s v="Bag"/>
    <x v="0"/>
    <n v="2"/>
    <n v="1448.25"/>
    <x v="222"/>
    <x v="0"/>
    <n v="2896.5"/>
    <x v="0"/>
    <x v="0"/>
  </r>
  <r>
    <s v="ORD0224"/>
    <x v="62"/>
    <x v="84"/>
    <s v="Phone"/>
    <x v="3"/>
    <n v="1"/>
    <n v="311.02"/>
    <x v="223"/>
    <x v="3"/>
    <n v="311.02"/>
    <x v="11"/>
    <x v="0"/>
  </r>
  <r>
    <s v="ORD0225"/>
    <x v="117"/>
    <x v="20"/>
    <s v="Jacket"/>
    <x v="1"/>
    <n v="5"/>
    <n v="1635.13"/>
    <x v="224"/>
    <x v="0"/>
    <n v="8175.6500000000005"/>
    <x v="1"/>
    <x v="0"/>
  </r>
  <r>
    <s v="ORD0226"/>
    <x v="112"/>
    <x v="95"/>
    <s v="Table"/>
    <x v="2"/>
    <n v="1"/>
    <n v="1451.19"/>
    <x v="225"/>
    <x v="3"/>
    <n v="1451.19"/>
    <x v="10"/>
    <x v="0"/>
  </r>
  <r>
    <s v="ORD0227"/>
    <x v="167"/>
    <x v="18"/>
    <s v="Phone"/>
    <x v="3"/>
    <n v="4"/>
    <n v="1818.12"/>
    <x v="226"/>
    <x v="0"/>
    <n v="7272.48"/>
    <x v="10"/>
    <x v="0"/>
  </r>
  <r>
    <s v="ORD0228"/>
    <x v="168"/>
    <x v="39"/>
    <s v="Watch"/>
    <x v="0"/>
    <n v="1"/>
    <n v="345.18"/>
    <x v="227"/>
    <x v="3"/>
    <n v="345.18"/>
    <x v="9"/>
    <x v="0"/>
  </r>
  <r>
    <s v="ORD0229"/>
    <x v="169"/>
    <x v="24"/>
    <s v="Bag"/>
    <x v="0"/>
    <n v="5"/>
    <n v="1589.94"/>
    <x v="228"/>
    <x v="1"/>
    <n v="7949.7000000000007"/>
    <x v="6"/>
    <x v="0"/>
  </r>
  <r>
    <s v="ORD0230"/>
    <x v="147"/>
    <x v="62"/>
    <s v="Headphones"/>
    <x v="3"/>
    <n v="5"/>
    <n v="109.45"/>
    <x v="229"/>
    <x v="2"/>
    <n v="547.25"/>
    <x v="1"/>
    <x v="0"/>
  </r>
  <r>
    <s v="ORD0231"/>
    <x v="25"/>
    <x v="102"/>
    <s v="Watch"/>
    <x v="0"/>
    <n v="5"/>
    <n v="1121.8399999999999"/>
    <x v="230"/>
    <x v="3"/>
    <n v="5609.2"/>
    <x v="5"/>
    <x v="0"/>
  </r>
  <r>
    <s v="ORD0232"/>
    <x v="165"/>
    <x v="79"/>
    <s v="Bag"/>
    <x v="0"/>
    <n v="3"/>
    <n v="1662.58"/>
    <x v="231"/>
    <x v="1"/>
    <n v="4987.74"/>
    <x v="1"/>
    <x v="0"/>
  </r>
  <r>
    <s v="ORD0233"/>
    <x v="139"/>
    <x v="17"/>
    <s v="Phone"/>
    <x v="3"/>
    <n v="2"/>
    <n v="1050.26"/>
    <x v="232"/>
    <x v="3"/>
    <n v="2100.52"/>
    <x v="6"/>
    <x v="0"/>
  </r>
  <r>
    <s v="ORD0234"/>
    <x v="119"/>
    <x v="52"/>
    <s v="Chair"/>
    <x v="2"/>
    <n v="5"/>
    <n v="238.61"/>
    <x v="233"/>
    <x v="1"/>
    <n v="1193.0500000000002"/>
    <x v="4"/>
    <x v="0"/>
  </r>
  <r>
    <s v="ORD0235"/>
    <x v="170"/>
    <x v="28"/>
    <s v="Jacket"/>
    <x v="1"/>
    <n v="5"/>
    <n v="1738.21"/>
    <x v="234"/>
    <x v="3"/>
    <n v="8691.0499999999993"/>
    <x v="3"/>
    <x v="0"/>
  </r>
  <r>
    <s v="ORD0236"/>
    <x v="171"/>
    <x v="98"/>
    <s v="Shoes"/>
    <x v="1"/>
    <n v="2"/>
    <n v="1793.79"/>
    <x v="235"/>
    <x v="0"/>
    <n v="3587.58"/>
    <x v="5"/>
    <x v="0"/>
  </r>
  <r>
    <s v="ORD0237"/>
    <x v="71"/>
    <x v="103"/>
    <s v="Laptop"/>
    <x v="3"/>
    <n v="3"/>
    <n v="1832.95"/>
    <x v="236"/>
    <x v="1"/>
    <n v="5498.85"/>
    <x v="4"/>
    <x v="0"/>
  </r>
  <r>
    <s v="ORD0238"/>
    <x v="172"/>
    <x v="104"/>
    <s v="Jacket"/>
    <x v="1"/>
    <n v="3"/>
    <n v="952.87"/>
    <x v="237"/>
    <x v="0"/>
    <n v="2858.61"/>
    <x v="9"/>
    <x v="0"/>
  </r>
  <r>
    <s v="ORD0239"/>
    <x v="155"/>
    <x v="73"/>
    <s v="Headphones"/>
    <x v="3"/>
    <n v="3"/>
    <n v="1246.23"/>
    <x v="238"/>
    <x v="2"/>
    <n v="3738.69"/>
    <x v="8"/>
    <x v="0"/>
  </r>
  <r>
    <s v="ORD0240"/>
    <x v="173"/>
    <x v="4"/>
    <s v="Jacket"/>
    <x v="1"/>
    <n v="4"/>
    <n v="1611.61"/>
    <x v="239"/>
    <x v="1"/>
    <n v="6446.44"/>
    <x v="10"/>
    <x v="0"/>
  </r>
  <r>
    <s v="ORD0241"/>
    <x v="108"/>
    <x v="85"/>
    <s v="Phone"/>
    <x v="3"/>
    <n v="5"/>
    <n v="913.5"/>
    <x v="240"/>
    <x v="1"/>
    <n v="4567.5"/>
    <x v="0"/>
    <x v="0"/>
  </r>
  <r>
    <s v="ORD0242"/>
    <x v="102"/>
    <x v="23"/>
    <s v="Watch"/>
    <x v="0"/>
    <n v="4"/>
    <n v="317.41000000000003"/>
    <x v="241"/>
    <x v="0"/>
    <n v="1269.6400000000001"/>
    <x v="6"/>
    <x v="0"/>
  </r>
  <r>
    <s v="ORD0243"/>
    <x v="79"/>
    <x v="105"/>
    <s v="Phone"/>
    <x v="3"/>
    <n v="2"/>
    <n v="1924.33"/>
    <x v="242"/>
    <x v="0"/>
    <n v="3848.66"/>
    <x v="10"/>
    <x v="0"/>
  </r>
  <r>
    <s v="ORD0244"/>
    <x v="81"/>
    <x v="16"/>
    <s v="Jacket"/>
    <x v="1"/>
    <n v="2"/>
    <n v="1590.09"/>
    <x v="243"/>
    <x v="1"/>
    <n v="3180.18"/>
    <x v="8"/>
    <x v="0"/>
  </r>
  <r>
    <s v="ORD0245"/>
    <x v="10"/>
    <x v="76"/>
    <s v="Shoes"/>
    <x v="1"/>
    <n v="1"/>
    <n v="942.24"/>
    <x v="244"/>
    <x v="0"/>
    <n v="942.24"/>
    <x v="4"/>
    <x v="0"/>
  </r>
  <r>
    <s v="ORD0246"/>
    <x v="162"/>
    <x v="81"/>
    <s v="Laptop"/>
    <x v="3"/>
    <n v="2"/>
    <n v="453.69"/>
    <x v="245"/>
    <x v="2"/>
    <n v="907.38"/>
    <x v="6"/>
    <x v="0"/>
  </r>
  <r>
    <s v="ORD0247"/>
    <x v="174"/>
    <x v="98"/>
    <s v="Jacket"/>
    <x v="1"/>
    <n v="4"/>
    <n v="541.41"/>
    <x v="246"/>
    <x v="1"/>
    <n v="2165.64"/>
    <x v="8"/>
    <x v="0"/>
  </r>
  <r>
    <s v="ORD0248"/>
    <x v="107"/>
    <x v="106"/>
    <s v="Phone"/>
    <x v="3"/>
    <n v="5"/>
    <n v="456.27"/>
    <x v="247"/>
    <x v="0"/>
    <n v="2281.35"/>
    <x v="11"/>
    <x v="0"/>
  </r>
  <r>
    <s v="ORD0249"/>
    <x v="175"/>
    <x v="89"/>
    <s v="Watch"/>
    <x v="0"/>
    <n v="1"/>
    <n v="244.89"/>
    <x v="248"/>
    <x v="3"/>
    <n v="244.89"/>
    <x v="9"/>
    <x v="0"/>
  </r>
  <r>
    <s v="ORD0250"/>
    <x v="162"/>
    <x v="98"/>
    <s v="Table"/>
    <x v="2"/>
    <n v="4"/>
    <n v="1068.3"/>
    <x v="249"/>
    <x v="3"/>
    <n v="4273.2"/>
    <x v="6"/>
    <x v="0"/>
  </r>
  <r>
    <s v="ORD0251"/>
    <x v="176"/>
    <x v="9"/>
    <s v="Laptop"/>
    <x v="3"/>
    <n v="5"/>
    <n v="839.43"/>
    <x v="250"/>
    <x v="1"/>
    <n v="4197.1499999999996"/>
    <x v="0"/>
    <x v="0"/>
  </r>
  <r>
    <s v="ORD0252"/>
    <x v="157"/>
    <x v="45"/>
    <s v="Phone"/>
    <x v="3"/>
    <n v="1"/>
    <n v="116.61"/>
    <x v="251"/>
    <x v="2"/>
    <n v="116.61"/>
    <x v="0"/>
    <x v="0"/>
  </r>
  <r>
    <s v="ORD0253"/>
    <x v="177"/>
    <x v="10"/>
    <s v="Watch"/>
    <x v="0"/>
    <n v="2"/>
    <n v="302.7"/>
    <x v="252"/>
    <x v="3"/>
    <n v="605.4"/>
    <x v="7"/>
    <x v="0"/>
  </r>
  <r>
    <s v="ORD0254"/>
    <x v="121"/>
    <x v="86"/>
    <s v="Phone"/>
    <x v="3"/>
    <n v="1"/>
    <n v="1832.09"/>
    <x v="253"/>
    <x v="1"/>
    <n v="1832.09"/>
    <x v="6"/>
    <x v="0"/>
  </r>
  <r>
    <s v="ORD0255"/>
    <x v="95"/>
    <x v="1"/>
    <s v="Watch"/>
    <x v="0"/>
    <n v="3"/>
    <n v="1759.8"/>
    <x v="254"/>
    <x v="1"/>
    <n v="5279.4"/>
    <x v="3"/>
    <x v="0"/>
  </r>
  <r>
    <s v="ORD0256"/>
    <x v="81"/>
    <x v="100"/>
    <s v="Watch"/>
    <x v="0"/>
    <n v="4"/>
    <n v="873.15"/>
    <x v="255"/>
    <x v="2"/>
    <n v="3492.6"/>
    <x v="8"/>
    <x v="0"/>
  </r>
  <r>
    <s v="ORD0257"/>
    <x v="155"/>
    <x v="47"/>
    <s v="Table"/>
    <x v="2"/>
    <n v="4"/>
    <n v="548.76"/>
    <x v="256"/>
    <x v="2"/>
    <n v="2195.04"/>
    <x v="8"/>
    <x v="0"/>
  </r>
  <r>
    <s v="ORD0258"/>
    <x v="28"/>
    <x v="73"/>
    <s v="Chair"/>
    <x v="2"/>
    <n v="1"/>
    <n v="1798.68"/>
    <x v="257"/>
    <x v="2"/>
    <n v="1798.68"/>
    <x v="1"/>
    <x v="0"/>
  </r>
  <r>
    <s v="ORD0259"/>
    <x v="105"/>
    <x v="53"/>
    <s v="Watch"/>
    <x v="0"/>
    <n v="3"/>
    <n v="1772.39"/>
    <x v="258"/>
    <x v="3"/>
    <n v="5317.17"/>
    <x v="11"/>
    <x v="0"/>
  </r>
  <r>
    <s v="ORD0260"/>
    <x v="19"/>
    <x v="22"/>
    <s v="Bag"/>
    <x v="0"/>
    <n v="3"/>
    <n v="1273.49"/>
    <x v="259"/>
    <x v="1"/>
    <n v="3820.4700000000003"/>
    <x v="4"/>
    <x v="0"/>
  </r>
  <r>
    <s v="ORD0261"/>
    <x v="130"/>
    <x v="86"/>
    <s v="Bag"/>
    <x v="0"/>
    <n v="3"/>
    <n v="1805.64"/>
    <x v="260"/>
    <x v="0"/>
    <n v="5416.92"/>
    <x v="11"/>
    <x v="0"/>
  </r>
  <r>
    <s v="ORD0262"/>
    <x v="178"/>
    <x v="27"/>
    <s v="Headphones"/>
    <x v="3"/>
    <n v="4"/>
    <n v="1576.57"/>
    <x v="261"/>
    <x v="1"/>
    <n v="6306.28"/>
    <x v="5"/>
    <x v="0"/>
  </r>
  <r>
    <s v="ORD0263"/>
    <x v="37"/>
    <x v="5"/>
    <s v="Phone"/>
    <x v="3"/>
    <n v="5"/>
    <n v="1510.6"/>
    <x v="262"/>
    <x v="0"/>
    <n v="7553"/>
    <x v="2"/>
    <x v="0"/>
  </r>
  <r>
    <s v="ORD0264"/>
    <x v="106"/>
    <x v="52"/>
    <s v="Shoes"/>
    <x v="1"/>
    <n v="1"/>
    <n v="1224.1600000000001"/>
    <x v="263"/>
    <x v="2"/>
    <n v="1224.1600000000001"/>
    <x v="11"/>
    <x v="0"/>
  </r>
  <r>
    <s v="ORD0265"/>
    <x v="95"/>
    <x v="24"/>
    <s v="Shoes"/>
    <x v="1"/>
    <n v="2"/>
    <n v="691.5"/>
    <x v="264"/>
    <x v="1"/>
    <n v="1383"/>
    <x v="3"/>
    <x v="0"/>
  </r>
  <r>
    <s v="ORD0266"/>
    <x v="141"/>
    <x v="56"/>
    <s v="Jacket"/>
    <x v="1"/>
    <n v="5"/>
    <n v="980.6"/>
    <x v="265"/>
    <x v="2"/>
    <n v="4903"/>
    <x v="1"/>
    <x v="0"/>
  </r>
  <r>
    <s v="ORD0267"/>
    <x v="5"/>
    <x v="94"/>
    <s v="Bag"/>
    <x v="0"/>
    <n v="3"/>
    <n v="1743.75"/>
    <x v="266"/>
    <x v="1"/>
    <n v="5231.25"/>
    <x v="4"/>
    <x v="0"/>
  </r>
  <r>
    <s v="ORD0268"/>
    <x v="122"/>
    <x v="68"/>
    <s v="Headphones"/>
    <x v="3"/>
    <n v="4"/>
    <n v="1810.82"/>
    <x v="267"/>
    <x v="3"/>
    <n v="7243.28"/>
    <x v="4"/>
    <x v="0"/>
  </r>
  <r>
    <s v="ORD0269"/>
    <x v="73"/>
    <x v="107"/>
    <s v="Laptop"/>
    <x v="3"/>
    <n v="1"/>
    <n v="897.06"/>
    <x v="268"/>
    <x v="0"/>
    <n v="897.06"/>
    <x v="5"/>
    <x v="0"/>
  </r>
  <r>
    <s v="ORD0270"/>
    <x v="179"/>
    <x v="9"/>
    <s v="Jacket"/>
    <x v="1"/>
    <n v="1"/>
    <n v="856.43"/>
    <x v="269"/>
    <x v="2"/>
    <n v="856.43"/>
    <x v="10"/>
    <x v="0"/>
  </r>
  <r>
    <s v="ORD0271"/>
    <x v="180"/>
    <x v="71"/>
    <s v="Laptop"/>
    <x v="3"/>
    <n v="1"/>
    <n v="1954.67"/>
    <x v="270"/>
    <x v="0"/>
    <n v="1954.67"/>
    <x v="9"/>
    <x v="0"/>
  </r>
  <r>
    <s v="ORD0272"/>
    <x v="181"/>
    <x v="64"/>
    <s v="Laptop"/>
    <x v="3"/>
    <n v="4"/>
    <n v="1000.75"/>
    <x v="271"/>
    <x v="0"/>
    <n v="4003"/>
    <x v="3"/>
    <x v="0"/>
  </r>
  <r>
    <s v="ORD0273"/>
    <x v="160"/>
    <x v="60"/>
    <s v="Phone"/>
    <x v="3"/>
    <n v="1"/>
    <n v="961.08"/>
    <x v="272"/>
    <x v="2"/>
    <n v="961.08"/>
    <x v="5"/>
    <x v="0"/>
  </r>
  <r>
    <s v="ORD0274"/>
    <x v="182"/>
    <x v="108"/>
    <s v="Laptop"/>
    <x v="3"/>
    <n v="3"/>
    <n v="441.69"/>
    <x v="273"/>
    <x v="0"/>
    <n v="1325.07"/>
    <x v="3"/>
    <x v="0"/>
  </r>
  <r>
    <s v="ORD0275"/>
    <x v="15"/>
    <x v="68"/>
    <s v="Headphones"/>
    <x v="3"/>
    <n v="1"/>
    <n v="515.01"/>
    <x v="274"/>
    <x v="2"/>
    <n v="515.01"/>
    <x v="6"/>
    <x v="0"/>
  </r>
  <r>
    <s v="ORD0276"/>
    <x v="183"/>
    <x v="33"/>
    <s v="Laptop"/>
    <x v="3"/>
    <n v="2"/>
    <n v="1403.64"/>
    <x v="275"/>
    <x v="2"/>
    <n v="2807.28"/>
    <x v="10"/>
    <x v="0"/>
  </r>
  <r>
    <s v="ORD0277"/>
    <x v="153"/>
    <x v="91"/>
    <s v="Table"/>
    <x v="2"/>
    <n v="2"/>
    <n v="492.7"/>
    <x v="276"/>
    <x v="1"/>
    <n v="985.4"/>
    <x v="7"/>
    <x v="0"/>
  </r>
  <r>
    <s v="ORD0278"/>
    <x v="184"/>
    <x v="1"/>
    <s v="Chair"/>
    <x v="2"/>
    <n v="3"/>
    <n v="133.72"/>
    <x v="277"/>
    <x v="1"/>
    <n v="401.15999999999997"/>
    <x v="10"/>
    <x v="0"/>
  </r>
  <r>
    <s v="ORD0279"/>
    <x v="185"/>
    <x v="8"/>
    <s v="Headphones"/>
    <x v="3"/>
    <n v="5"/>
    <n v="612.22"/>
    <x v="278"/>
    <x v="0"/>
    <n v="3061.1000000000004"/>
    <x v="0"/>
    <x v="0"/>
  </r>
  <r>
    <s v="ORD0280"/>
    <x v="186"/>
    <x v="11"/>
    <s v="Bag"/>
    <x v="0"/>
    <n v="5"/>
    <n v="1147.72"/>
    <x v="279"/>
    <x v="0"/>
    <n v="5738.6"/>
    <x v="7"/>
    <x v="0"/>
  </r>
  <r>
    <s v="ORD0281"/>
    <x v="187"/>
    <x v="65"/>
    <s v="Jacket"/>
    <x v="1"/>
    <n v="5"/>
    <n v="1917.91"/>
    <x v="280"/>
    <x v="3"/>
    <n v="9589.5500000000011"/>
    <x v="4"/>
    <x v="0"/>
  </r>
  <r>
    <s v="ORD0282"/>
    <x v="121"/>
    <x v="70"/>
    <s v="Chair"/>
    <x v="2"/>
    <n v="2"/>
    <n v="1416.52"/>
    <x v="281"/>
    <x v="3"/>
    <n v="2833.04"/>
    <x v="6"/>
    <x v="0"/>
  </r>
  <r>
    <s v="ORD0283"/>
    <x v="112"/>
    <x v="48"/>
    <s v="Watch"/>
    <x v="0"/>
    <n v="3"/>
    <n v="862.2"/>
    <x v="282"/>
    <x v="3"/>
    <n v="2586.6000000000004"/>
    <x v="10"/>
    <x v="0"/>
  </r>
  <r>
    <s v="ORD0284"/>
    <x v="188"/>
    <x v="79"/>
    <s v="Laptop"/>
    <x v="3"/>
    <n v="4"/>
    <n v="1260.44"/>
    <x v="283"/>
    <x v="3"/>
    <n v="5041.76"/>
    <x v="1"/>
    <x v="0"/>
  </r>
  <r>
    <s v="ORD0285"/>
    <x v="65"/>
    <x v="5"/>
    <s v="Chair"/>
    <x v="2"/>
    <n v="4"/>
    <n v="521.38"/>
    <x v="284"/>
    <x v="2"/>
    <n v="2085.52"/>
    <x v="5"/>
    <x v="0"/>
  </r>
  <r>
    <s v="ORD0286"/>
    <x v="12"/>
    <x v="92"/>
    <s v="Laptop"/>
    <x v="3"/>
    <n v="3"/>
    <n v="1571.84"/>
    <x v="285"/>
    <x v="0"/>
    <n v="4715.5199999999995"/>
    <x v="6"/>
    <x v="0"/>
  </r>
  <r>
    <s v="ORD0287"/>
    <x v="189"/>
    <x v="51"/>
    <s v="Table"/>
    <x v="2"/>
    <n v="2"/>
    <n v="1660.36"/>
    <x v="286"/>
    <x v="3"/>
    <n v="3320.72"/>
    <x v="3"/>
    <x v="0"/>
  </r>
  <r>
    <s v="ORD0288"/>
    <x v="178"/>
    <x v="96"/>
    <s v="Jacket"/>
    <x v="1"/>
    <n v="4"/>
    <n v="734.46"/>
    <x v="287"/>
    <x v="3"/>
    <n v="2937.84"/>
    <x v="5"/>
    <x v="0"/>
  </r>
  <r>
    <s v="ORD0289"/>
    <x v="112"/>
    <x v="109"/>
    <s v="Laptop"/>
    <x v="3"/>
    <n v="4"/>
    <n v="1885.23"/>
    <x v="288"/>
    <x v="1"/>
    <n v="7540.92"/>
    <x v="10"/>
    <x v="0"/>
  </r>
  <r>
    <s v="ORD0290"/>
    <x v="190"/>
    <x v="36"/>
    <s v="Laptop"/>
    <x v="3"/>
    <n v="2"/>
    <n v="1089.96"/>
    <x v="289"/>
    <x v="3"/>
    <n v="2179.92"/>
    <x v="8"/>
    <x v="0"/>
  </r>
  <r>
    <s v="ORD0291"/>
    <x v="191"/>
    <x v="8"/>
    <s v="Phone"/>
    <x v="3"/>
    <n v="3"/>
    <n v="1691.25"/>
    <x v="290"/>
    <x v="2"/>
    <n v="5073.75"/>
    <x v="8"/>
    <x v="0"/>
  </r>
  <r>
    <s v="ORD0292"/>
    <x v="192"/>
    <x v="99"/>
    <s v="Headphones"/>
    <x v="3"/>
    <n v="4"/>
    <n v="1785.25"/>
    <x v="291"/>
    <x v="0"/>
    <n v="7141"/>
    <x v="9"/>
    <x v="0"/>
  </r>
  <r>
    <s v="ORD0293"/>
    <x v="193"/>
    <x v="0"/>
    <s v="Watch"/>
    <x v="0"/>
    <n v="3"/>
    <n v="1301.25"/>
    <x v="292"/>
    <x v="0"/>
    <n v="3903.75"/>
    <x v="6"/>
    <x v="0"/>
  </r>
  <r>
    <s v="ORD0294"/>
    <x v="194"/>
    <x v="52"/>
    <s v="Bag"/>
    <x v="0"/>
    <n v="2"/>
    <n v="359.03"/>
    <x v="293"/>
    <x v="1"/>
    <n v="718.06"/>
    <x v="9"/>
    <x v="0"/>
  </r>
  <r>
    <s v="ORD0295"/>
    <x v="195"/>
    <x v="95"/>
    <s v="Laptop"/>
    <x v="3"/>
    <n v="3"/>
    <n v="1541.55"/>
    <x v="294"/>
    <x v="1"/>
    <n v="4624.6499999999996"/>
    <x v="1"/>
    <x v="0"/>
  </r>
  <r>
    <s v="ORD0296"/>
    <x v="196"/>
    <x v="80"/>
    <s v="Chair"/>
    <x v="2"/>
    <n v="5"/>
    <n v="1796.53"/>
    <x v="295"/>
    <x v="0"/>
    <n v="8982.65"/>
    <x v="6"/>
    <x v="0"/>
  </r>
  <r>
    <s v="ORD0297"/>
    <x v="197"/>
    <x v="5"/>
    <s v="Jacket"/>
    <x v="1"/>
    <n v="4"/>
    <n v="1204.43"/>
    <x v="296"/>
    <x v="1"/>
    <n v="4817.72"/>
    <x v="5"/>
    <x v="0"/>
  </r>
  <r>
    <s v="ORD0298"/>
    <x v="87"/>
    <x v="39"/>
    <s v="Phone"/>
    <x v="3"/>
    <n v="1"/>
    <n v="1663.86"/>
    <x v="297"/>
    <x v="1"/>
    <n v="1663.86"/>
    <x v="3"/>
    <x v="0"/>
  </r>
  <r>
    <s v="ORD0299"/>
    <x v="198"/>
    <x v="87"/>
    <s v="Bag"/>
    <x v="0"/>
    <n v="3"/>
    <n v="1800.12"/>
    <x v="298"/>
    <x v="1"/>
    <n v="5400.36"/>
    <x v="6"/>
    <x v="0"/>
  </r>
  <r>
    <s v="ORD0300"/>
    <x v="199"/>
    <x v="41"/>
    <s v="Bag"/>
    <x v="0"/>
    <n v="1"/>
    <n v="1365.31"/>
    <x v="299"/>
    <x v="0"/>
    <n v="1365.31"/>
    <x v="10"/>
    <x v="0"/>
  </r>
  <r>
    <s v="ORD0301"/>
    <x v="200"/>
    <x v="110"/>
    <s v="Laptop"/>
    <x v="3"/>
    <n v="3"/>
    <n v="918.58"/>
    <x v="300"/>
    <x v="2"/>
    <n v="2755.7400000000002"/>
    <x v="7"/>
    <x v="0"/>
  </r>
  <r>
    <s v="ORD0302"/>
    <x v="201"/>
    <x v="95"/>
    <s v="Bag"/>
    <x v="0"/>
    <n v="5"/>
    <n v="95.23"/>
    <x v="301"/>
    <x v="1"/>
    <n v="476.15000000000003"/>
    <x v="0"/>
    <x v="0"/>
  </r>
  <r>
    <s v="ORD0303"/>
    <x v="202"/>
    <x v="51"/>
    <s v="Shoes"/>
    <x v="1"/>
    <n v="2"/>
    <n v="394.26"/>
    <x v="302"/>
    <x v="0"/>
    <n v="788.52"/>
    <x v="4"/>
    <x v="0"/>
  </r>
  <r>
    <s v="ORD0304"/>
    <x v="58"/>
    <x v="85"/>
    <s v="Phone"/>
    <x v="3"/>
    <n v="1"/>
    <n v="523.58000000000004"/>
    <x v="303"/>
    <x v="3"/>
    <n v="523.58000000000004"/>
    <x v="5"/>
    <x v="0"/>
  </r>
  <r>
    <s v="ORD0305"/>
    <x v="203"/>
    <x v="24"/>
    <s v="Phone"/>
    <x v="3"/>
    <n v="4"/>
    <n v="201.13"/>
    <x v="304"/>
    <x v="1"/>
    <n v="804.52"/>
    <x v="2"/>
    <x v="0"/>
  </r>
  <r>
    <s v="ORD0306"/>
    <x v="204"/>
    <x v="100"/>
    <s v="Laptop"/>
    <x v="3"/>
    <n v="4"/>
    <n v="1229.6400000000001"/>
    <x v="305"/>
    <x v="3"/>
    <n v="4918.5600000000004"/>
    <x v="1"/>
    <x v="0"/>
  </r>
  <r>
    <s v="ORD0307"/>
    <x v="192"/>
    <x v="79"/>
    <s v="Phone"/>
    <x v="3"/>
    <n v="2"/>
    <n v="578.70000000000005"/>
    <x v="306"/>
    <x v="1"/>
    <n v="1157.4000000000001"/>
    <x v="9"/>
    <x v="0"/>
  </r>
  <r>
    <s v="ORD0308"/>
    <x v="205"/>
    <x v="47"/>
    <s v="Bag"/>
    <x v="0"/>
    <n v="2"/>
    <n v="348.18"/>
    <x v="307"/>
    <x v="0"/>
    <n v="696.36"/>
    <x v="6"/>
    <x v="0"/>
  </r>
  <r>
    <s v="ORD0309"/>
    <x v="206"/>
    <x v="30"/>
    <s v="Jacket"/>
    <x v="1"/>
    <n v="5"/>
    <n v="821.6"/>
    <x v="308"/>
    <x v="0"/>
    <n v="4108"/>
    <x v="11"/>
    <x v="0"/>
  </r>
  <r>
    <s v="ORD0310"/>
    <x v="207"/>
    <x v="78"/>
    <s v="Watch"/>
    <x v="0"/>
    <n v="1"/>
    <n v="316.8"/>
    <x v="309"/>
    <x v="3"/>
    <n v="316.8"/>
    <x v="6"/>
    <x v="0"/>
  </r>
  <r>
    <s v="ORD0311"/>
    <x v="208"/>
    <x v="29"/>
    <s v="Bag"/>
    <x v="0"/>
    <n v="2"/>
    <n v="265.94"/>
    <x v="310"/>
    <x v="2"/>
    <n v="531.88"/>
    <x v="9"/>
    <x v="0"/>
  </r>
  <r>
    <s v="ORD0312"/>
    <x v="26"/>
    <x v="12"/>
    <s v="Phone"/>
    <x v="3"/>
    <n v="1"/>
    <n v="822.22"/>
    <x v="311"/>
    <x v="1"/>
    <n v="822.22"/>
    <x v="2"/>
    <x v="0"/>
  </r>
  <r>
    <s v="ORD0313"/>
    <x v="91"/>
    <x v="83"/>
    <s v="Watch"/>
    <x v="0"/>
    <n v="2"/>
    <n v="977.18"/>
    <x v="312"/>
    <x v="1"/>
    <n v="1954.36"/>
    <x v="4"/>
    <x v="0"/>
  </r>
  <r>
    <s v="ORD0314"/>
    <x v="183"/>
    <x v="110"/>
    <s v="Shoes"/>
    <x v="1"/>
    <n v="2"/>
    <n v="742.04"/>
    <x v="313"/>
    <x v="1"/>
    <n v="1484.08"/>
    <x v="10"/>
    <x v="0"/>
  </r>
  <r>
    <s v="ORD0315"/>
    <x v="88"/>
    <x v="91"/>
    <s v="Table"/>
    <x v="2"/>
    <n v="4"/>
    <n v="475.55"/>
    <x v="314"/>
    <x v="0"/>
    <n v="1902.2"/>
    <x v="6"/>
    <x v="0"/>
  </r>
  <r>
    <s v="ORD0316"/>
    <x v="173"/>
    <x v="89"/>
    <s v="Headphones"/>
    <x v="3"/>
    <n v="5"/>
    <n v="1148.71"/>
    <x v="315"/>
    <x v="0"/>
    <n v="5743.55"/>
    <x v="10"/>
    <x v="0"/>
  </r>
  <r>
    <s v="ORD0317"/>
    <x v="43"/>
    <x v="59"/>
    <s v="Laptop"/>
    <x v="3"/>
    <n v="5"/>
    <n v="908.77"/>
    <x v="316"/>
    <x v="1"/>
    <n v="4543.8500000000004"/>
    <x v="11"/>
    <x v="0"/>
  </r>
  <r>
    <s v="ORD0318"/>
    <x v="59"/>
    <x v="102"/>
    <s v="Phone"/>
    <x v="3"/>
    <n v="2"/>
    <n v="912.43"/>
    <x v="317"/>
    <x v="2"/>
    <n v="1824.86"/>
    <x v="2"/>
    <x v="0"/>
  </r>
  <r>
    <s v="ORD0319"/>
    <x v="209"/>
    <x v="27"/>
    <s v="Watch"/>
    <x v="0"/>
    <n v="4"/>
    <n v="1557.19"/>
    <x v="318"/>
    <x v="0"/>
    <n v="6228.76"/>
    <x v="0"/>
    <x v="0"/>
  </r>
  <r>
    <s v="ORD0320"/>
    <x v="77"/>
    <x v="56"/>
    <s v="Table"/>
    <x v="2"/>
    <n v="4"/>
    <n v="1440.59"/>
    <x v="319"/>
    <x v="1"/>
    <n v="5762.36"/>
    <x v="11"/>
    <x v="0"/>
  </r>
  <r>
    <s v="ORD0321"/>
    <x v="57"/>
    <x v="55"/>
    <s v="Headphones"/>
    <x v="3"/>
    <n v="3"/>
    <n v="1386.94"/>
    <x v="320"/>
    <x v="0"/>
    <n v="4160.82"/>
    <x v="11"/>
    <x v="0"/>
  </r>
  <r>
    <s v="ORD0322"/>
    <x v="27"/>
    <x v="24"/>
    <s v="Phone"/>
    <x v="3"/>
    <n v="2"/>
    <n v="565.08000000000004"/>
    <x v="321"/>
    <x v="2"/>
    <n v="1130.1600000000001"/>
    <x v="1"/>
    <x v="0"/>
  </r>
  <r>
    <s v="ORD0323"/>
    <x v="210"/>
    <x v="95"/>
    <s v="Headphones"/>
    <x v="3"/>
    <n v="1"/>
    <n v="1823.6"/>
    <x v="322"/>
    <x v="3"/>
    <n v="1823.6"/>
    <x v="9"/>
    <x v="0"/>
  </r>
  <r>
    <s v="ORD0324"/>
    <x v="169"/>
    <x v="104"/>
    <s v="Phone"/>
    <x v="3"/>
    <n v="5"/>
    <n v="633.67999999999995"/>
    <x v="323"/>
    <x v="0"/>
    <n v="3168.3999999999996"/>
    <x v="6"/>
    <x v="0"/>
  </r>
  <r>
    <s v="ORD0325"/>
    <x v="201"/>
    <x v="111"/>
    <s v="Table"/>
    <x v="2"/>
    <n v="1"/>
    <n v="64.17"/>
    <x v="324"/>
    <x v="3"/>
    <n v="64.17"/>
    <x v="0"/>
    <x v="0"/>
  </r>
  <r>
    <s v="ORD0326"/>
    <x v="91"/>
    <x v="95"/>
    <s v="Shoes"/>
    <x v="1"/>
    <n v="3"/>
    <n v="992.8"/>
    <x v="325"/>
    <x v="0"/>
    <n v="2978.3999999999996"/>
    <x v="4"/>
    <x v="0"/>
  </r>
  <r>
    <s v="ORD0327"/>
    <x v="18"/>
    <x v="82"/>
    <s v="Watch"/>
    <x v="0"/>
    <n v="2"/>
    <n v="1964.03"/>
    <x v="326"/>
    <x v="3"/>
    <n v="3928.06"/>
    <x v="1"/>
    <x v="0"/>
  </r>
  <r>
    <s v="ORD0328"/>
    <x v="211"/>
    <x v="83"/>
    <s v="Watch"/>
    <x v="0"/>
    <n v="4"/>
    <n v="147.69"/>
    <x v="327"/>
    <x v="1"/>
    <n v="590.76"/>
    <x v="5"/>
    <x v="0"/>
  </r>
  <r>
    <s v="ORD0329"/>
    <x v="123"/>
    <x v="112"/>
    <s v="Jacket"/>
    <x v="1"/>
    <n v="1"/>
    <n v="550.35"/>
    <x v="328"/>
    <x v="0"/>
    <n v="550.35"/>
    <x v="6"/>
    <x v="0"/>
  </r>
  <r>
    <s v="ORD0330"/>
    <x v="158"/>
    <x v="17"/>
    <s v="Bag"/>
    <x v="0"/>
    <n v="1"/>
    <n v="783.76"/>
    <x v="329"/>
    <x v="2"/>
    <n v="783.76"/>
    <x v="8"/>
    <x v="0"/>
  </r>
  <r>
    <s v="ORD0331"/>
    <x v="212"/>
    <x v="1"/>
    <s v="Watch"/>
    <x v="0"/>
    <n v="3"/>
    <n v="1407.67"/>
    <x v="330"/>
    <x v="0"/>
    <n v="4223.01"/>
    <x v="11"/>
    <x v="0"/>
  </r>
  <r>
    <s v="ORD0332"/>
    <x v="146"/>
    <x v="9"/>
    <s v="Jacket"/>
    <x v="1"/>
    <n v="5"/>
    <n v="1794.09"/>
    <x v="331"/>
    <x v="1"/>
    <n v="8970.4499999999989"/>
    <x v="5"/>
    <x v="0"/>
  </r>
  <r>
    <s v="ORD0333"/>
    <x v="131"/>
    <x v="48"/>
    <s v="Phone"/>
    <x v="3"/>
    <n v="4"/>
    <n v="964.91"/>
    <x v="332"/>
    <x v="2"/>
    <n v="3859.64"/>
    <x v="7"/>
    <x v="0"/>
  </r>
  <r>
    <s v="ORD0334"/>
    <x v="2"/>
    <x v="56"/>
    <s v="Table"/>
    <x v="2"/>
    <n v="1"/>
    <n v="1484.56"/>
    <x v="333"/>
    <x v="1"/>
    <n v="1484.56"/>
    <x v="2"/>
    <x v="0"/>
  </r>
  <r>
    <s v="ORD0335"/>
    <x v="190"/>
    <x v="66"/>
    <s v="Table"/>
    <x v="2"/>
    <n v="1"/>
    <n v="1674.44"/>
    <x v="334"/>
    <x v="0"/>
    <n v="1674.44"/>
    <x v="8"/>
    <x v="0"/>
  </r>
  <r>
    <s v="ORD0336"/>
    <x v="183"/>
    <x v="113"/>
    <s v="Jacket"/>
    <x v="1"/>
    <n v="4"/>
    <n v="1783.07"/>
    <x v="335"/>
    <x v="2"/>
    <n v="7132.28"/>
    <x v="10"/>
    <x v="0"/>
  </r>
  <r>
    <s v="ORD0337"/>
    <x v="213"/>
    <x v="10"/>
    <s v="Shoes"/>
    <x v="1"/>
    <n v="4"/>
    <n v="160.54"/>
    <x v="336"/>
    <x v="2"/>
    <n v="642.16"/>
    <x v="7"/>
    <x v="0"/>
  </r>
  <r>
    <s v="ORD0338"/>
    <x v="113"/>
    <x v="90"/>
    <s v="Phone"/>
    <x v="3"/>
    <n v="4"/>
    <n v="1094.5"/>
    <x v="337"/>
    <x v="2"/>
    <n v="4378"/>
    <x v="1"/>
    <x v="0"/>
  </r>
  <r>
    <s v="ORD0339"/>
    <x v="82"/>
    <x v="33"/>
    <s v="Bag"/>
    <x v="0"/>
    <n v="1"/>
    <n v="687.13"/>
    <x v="338"/>
    <x v="0"/>
    <n v="687.13"/>
    <x v="6"/>
    <x v="0"/>
  </r>
  <r>
    <s v="ORD0340"/>
    <x v="196"/>
    <x v="50"/>
    <s v="Headphones"/>
    <x v="3"/>
    <n v="5"/>
    <n v="473.53"/>
    <x v="339"/>
    <x v="0"/>
    <n v="2367.6499999999996"/>
    <x v="6"/>
    <x v="0"/>
  </r>
  <r>
    <s v="ORD0341"/>
    <x v="5"/>
    <x v="26"/>
    <s v="Phone"/>
    <x v="3"/>
    <n v="2"/>
    <n v="1677.77"/>
    <x v="340"/>
    <x v="3"/>
    <n v="3355.54"/>
    <x v="4"/>
    <x v="0"/>
  </r>
  <r>
    <s v="ORD0342"/>
    <x v="214"/>
    <x v="32"/>
    <s v="Headphones"/>
    <x v="3"/>
    <n v="3"/>
    <n v="1048.4000000000001"/>
    <x v="341"/>
    <x v="3"/>
    <n v="3145.2000000000003"/>
    <x v="7"/>
    <x v="0"/>
  </r>
  <r>
    <s v="ORD0343"/>
    <x v="196"/>
    <x v="106"/>
    <s v="Phone"/>
    <x v="3"/>
    <n v="4"/>
    <n v="638.22"/>
    <x v="342"/>
    <x v="0"/>
    <n v="2552.88"/>
    <x v="6"/>
    <x v="0"/>
  </r>
  <r>
    <s v="ORD0344"/>
    <x v="78"/>
    <x v="81"/>
    <s v="Table"/>
    <x v="2"/>
    <n v="5"/>
    <n v="1374.47"/>
    <x v="343"/>
    <x v="2"/>
    <n v="6872.35"/>
    <x v="8"/>
    <x v="0"/>
  </r>
  <r>
    <s v="ORD0345"/>
    <x v="98"/>
    <x v="10"/>
    <s v="Headphones"/>
    <x v="3"/>
    <n v="1"/>
    <n v="1130.02"/>
    <x v="344"/>
    <x v="1"/>
    <n v="1130.02"/>
    <x v="0"/>
    <x v="0"/>
  </r>
  <r>
    <s v="ORD0346"/>
    <x v="215"/>
    <x v="41"/>
    <s v="Shoes"/>
    <x v="1"/>
    <n v="4"/>
    <n v="913.77"/>
    <x v="345"/>
    <x v="1"/>
    <n v="3655.08"/>
    <x v="3"/>
    <x v="0"/>
  </r>
  <r>
    <s v="ORD0347"/>
    <x v="105"/>
    <x v="44"/>
    <s v="Chair"/>
    <x v="2"/>
    <n v="1"/>
    <n v="1283.43"/>
    <x v="346"/>
    <x v="3"/>
    <n v="1283.43"/>
    <x v="11"/>
    <x v="0"/>
  </r>
  <r>
    <s v="ORD0348"/>
    <x v="216"/>
    <x v="99"/>
    <s v="Shoes"/>
    <x v="1"/>
    <n v="4"/>
    <n v="1009.09"/>
    <x v="347"/>
    <x v="2"/>
    <n v="4036.36"/>
    <x v="9"/>
    <x v="0"/>
  </r>
  <r>
    <s v="ORD0349"/>
    <x v="217"/>
    <x v="46"/>
    <s v="Table"/>
    <x v="2"/>
    <n v="4"/>
    <n v="188.88"/>
    <x v="348"/>
    <x v="1"/>
    <n v="755.52"/>
    <x v="3"/>
    <x v="0"/>
  </r>
  <r>
    <s v="ORD0350"/>
    <x v="13"/>
    <x v="83"/>
    <s v="Laptop"/>
    <x v="3"/>
    <n v="2"/>
    <n v="267.32"/>
    <x v="349"/>
    <x v="3"/>
    <n v="534.64"/>
    <x v="7"/>
    <x v="0"/>
  </r>
  <r>
    <s v="ORD0351"/>
    <x v="87"/>
    <x v="66"/>
    <s v="Chair"/>
    <x v="2"/>
    <n v="5"/>
    <n v="1831.87"/>
    <x v="350"/>
    <x v="1"/>
    <n v="9159.3499999999985"/>
    <x v="3"/>
    <x v="0"/>
  </r>
  <r>
    <s v="ORD0352"/>
    <x v="0"/>
    <x v="32"/>
    <s v="Phone"/>
    <x v="3"/>
    <n v="4"/>
    <n v="152.4"/>
    <x v="351"/>
    <x v="3"/>
    <n v="609.6"/>
    <x v="0"/>
    <x v="0"/>
  </r>
  <r>
    <s v="ORD0353"/>
    <x v="90"/>
    <x v="95"/>
    <s v="Headphones"/>
    <x v="3"/>
    <n v="2"/>
    <n v="392.13"/>
    <x v="352"/>
    <x v="2"/>
    <n v="784.26"/>
    <x v="1"/>
    <x v="0"/>
  </r>
  <r>
    <s v="ORD0354"/>
    <x v="37"/>
    <x v="58"/>
    <s v="Bag"/>
    <x v="0"/>
    <n v="2"/>
    <n v="499.83"/>
    <x v="353"/>
    <x v="1"/>
    <n v="999.66"/>
    <x v="2"/>
    <x v="0"/>
  </r>
  <r>
    <s v="ORD0355"/>
    <x v="218"/>
    <x v="44"/>
    <s v="Table"/>
    <x v="2"/>
    <n v="1"/>
    <n v="715.82"/>
    <x v="354"/>
    <x v="0"/>
    <n v="715.82"/>
    <x v="2"/>
    <x v="0"/>
  </r>
  <r>
    <s v="ORD0356"/>
    <x v="71"/>
    <x v="78"/>
    <s v="Headphones"/>
    <x v="3"/>
    <n v="4"/>
    <n v="516.84"/>
    <x v="355"/>
    <x v="0"/>
    <n v="2067.36"/>
    <x v="4"/>
    <x v="0"/>
  </r>
  <r>
    <s v="ORD0357"/>
    <x v="9"/>
    <x v="10"/>
    <s v="Headphones"/>
    <x v="3"/>
    <n v="2"/>
    <n v="658.61"/>
    <x v="356"/>
    <x v="3"/>
    <n v="1317.22"/>
    <x v="1"/>
    <x v="0"/>
  </r>
  <r>
    <s v="ORD0358"/>
    <x v="219"/>
    <x v="15"/>
    <s v="Bag"/>
    <x v="0"/>
    <n v="3"/>
    <n v="595.96"/>
    <x v="357"/>
    <x v="1"/>
    <n v="1787.88"/>
    <x v="4"/>
    <x v="0"/>
  </r>
  <r>
    <s v="ORD0359"/>
    <x v="90"/>
    <x v="25"/>
    <s v="Table"/>
    <x v="2"/>
    <n v="3"/>
    <n v="56.54"/>
    <x v="358"/>
    <x v="2"/>
    <n v="169.62"/>
    <x v="1"/>
    <x v="0"/>
  </r>
  <r>
    <s v="ORD0360"/>
    <x v="220"/>
    <x v="114"/>
    <s v="Jacket"/>
    <x v="1"/>
    <n v="2"/>
    <n v="1822.8"/>
    <x v="359"/>
    <x v="2"/>
    <n v="3645.6"/>
    <x v="7"/>
    <x v="0"/>
  </r>
  <r>
    <s v="ORD0361"/>
    <x v="179"/>
    <x v="55"/>
    <s v="Headphones"/>
    <x v="3"/>
    <n v="1"/>
    <n v="1039.9100000000001"/>
    <x v="360"/>
    <x v="1"/>
    <n v="1039.9100000000001"/>
    <x v="10"/>
    <x v="0"/>
  </r>
  <r>
    <s v="ORD0362"/>
    <x v="203"/>
    <x v="109"/>
    <s v="Jacket"/>
    <x v="1"/>
    <n v="2"/>
    <n v="410.35"/>
    <x v="361"/>
    <x v="0"/>
    <n v="820.7"/>
    <x v="2"/>
    <x v="0"/>
  </r>
  <r>
    <s v="ORD0363"/>
    <x v="171"/>
    <x v="96"/>
    <s v="Laptop"/>
    <x v="3"/>
    <n v="3"/>
    <n v="436.48"/>
    <x v="362"/>
    <x v="3"/>
    <n v="1309.44"/>
    <x v="5"/>
    <x v="0"/>
  </r>
  <r>
    <s v="ORD0364"/>
    <x v="221"/>
    <x v="114"/>
    <s v="Phone"/>
    <x v="3"/>
    <n v="4"/>
    <n v="764.23"/>
    <x v="363"/>
    <x v="1"/>
    <n v="3056.92"/>
    <x v="11"/>
    <x v="0"/>
  </r>
  <r>
    <s v="ORD0365"/>
    <x v="208"/>
    <x v="5"/>
    <s v="Watch"/>
    <x v="0"/>
    <n v="2"/>
    <n v="612.17999999999995"/>
    <x v="364"/>
    <x v="0"/>
    <n v="1224.3599999999999"/>
    <x v="9"/>
    <x v="0"/>
  </r>
  <r>
    <s v="ORD0366"/>
    <x v="222"/>
    <x v="93"/>
    <s v="Headphones"/>
    <x v="3"/>
    <n v="1"/>
    <n v="1718.87"/>
    <x v="365"/>
    <x v="2"/>
    <n v="1718.87"/>
    <x v="8"/>
    <x v="0"/>
  </r>
  <r>
    <s v="ORD0367"/>
    <x v="112"/>
    <x v="99"/>
    <s v="Bag"/>
    <x v="0"/>
    <n v="1"/>
    <n v="826.76"/>
    <x v="366"/>
    <x v="0"/>
    <n v="826.76"/>
    <x v="10"/>
    <x v="0"/>
  </r>
  <r>
    <s v="ORD0368"/>
    <x v="161"/>
    <x v="92"/>
    <s v="Bag"/>
    <x v="0"/>
    <n v="1"/>
    <n v="692.9"/>
    <x v="367"/>
    <x v="2"/>
    <n v="692.9"/>
    <x v="3"/>
    <x v="0"/>
  </r>
  <r>
    <s v="ORD0369"/>
    <x v="31"/>
    <x v="27"/>
    <s v="Laptop"/>
    <x v="3"/>
    <n v="2"/>
    <n v="250.57"/>
    <x v="368"/>
    <x v="1"/>
    <n v="501.14"/>
    <x v="9"/>
    <x v="0"/>
  </r>
  <r>
    <s v="ORD0370"/>
    <x v="223"/>
    <x v="89"/>
    <s v="Headphones"/>
    <x v="3"/>
    <n v="3"/>
    <n v="1499.4"/>
    <x v="369"/>
    <x v="1"/>
    <n v="4498.2000000000007"/>
    <x v="5"/>
    <x v="0"/>
  </r>
  <r>
    <s v="ORD0371"/>
    <x v="84"/>
    <x v="35"/>
    <s v="Phone"/>
    <x v="3"/>
    <n v="2"/>
    <n v="1085.27"/>
    <x v="370"/>
    <x v="1"/>
    <n v="2170.54"/>
    <x v="0"/>
    <x v="0"/>
  </r>
  <r>
    <s v="ORD0372"/>
    <x v="224"/>
    <x v="41"/>
    <s v="Watch"/>
    <x v="0"/>
    <n v="2"/>
    <n v="609.5"/>
    <x v="371"/>
    <x v="1"/>
    <n v="1219"/>
    <x v="2"/>
    <x v="0"/>
  </r>
  <r>
    <s v="ORD0373"/>
    <x v="225"/>
    <x v="73"/>
    <s v="Chair"/>
    <x v="2"/>
    <n v="4"/>
    <n v="997.1"/>
    <x v="372"/>
    <x v="0"/>
    <n v="3988.4"/>
    <x v="8"/>
    <x v="0"/>
  </r>
  <r>
    <s v="ORD0374"/>
    <x v="226"/>
    <x v="3"/>
    <s v="Chair"/>
    <x v="2"/>
    <n v="4"/>
    <n v="374.82"/>
    <x v="373"/>
    <x v="0"/>
    <n v="1499.28"/>
    <x v="7"/>
    <x v="0"/>
  </r>
  <r>
    <s v="ORD0375"/>
    <x v="227"/>
    <x v="51"/>
    <s v="Shoes"/>
    <x v="1"/>
    <n v="3"/>
    <n v="1373.5"/>
    <x v="374"/>
    <x v="0"/>
    <n v="4120.5"/>
    <x v="7"/>
    <x v="0"/>
  </r>
  <r>
    <s v="ORD0376"/>
    <x v="228"/>
    <x v="42"/>
    <s v="Watch"/>
    <x v="0"/>
    <n v="4"/>
    <n v="1357.25"/>
    <x v="375"/>
    <x v="3"/>
    <n v="5429"/>
    <x v="4"/>
    <x v="0"/>
  </r>
  <r>
    <s v="ORD0377"/>
    <x v="229"/>
    <x v="47"/>
    <s v="Shoes"/>
    <x v="1"/>
    <n v="2"/>
    <n v="1195.68"/>
    <x v="376"/>
    <x v="1"/>
    <n v="2391.36"/>
    <x v="3"/>
    <x v="0"/>
  </r>
  <r>
    <s v="ORD0378"/>
    <x v="230"/>
    <x v="12"/>
    <s v="Shoes"/>
    <x v="1"/>
    <n v="5"/>
    <n v="1085.3499999999999"/>
    <x v="377"/>
    <x v="0"/>
    <n v="5426.75"/>
    <x v="9"/>
    <x v="0"/>
  </r>
  <r>
    <s v="ORD0379"/>
    <x v="231"/>
    <x v="115"/>
    <s v="Bag"/>
    <x v="0"/>
    <n v="3"/>
    <n v="50.3"/>
    <x v="378"/>
    <x v="0"/>
    <n v="150.89999999999998"/>
    <x v="1"/>
    <x v="0"/>
  </r>
  <r>
    <s v="ORD0380"/>
    <x v="44"/>
    <x v="77"/>
    <s v="Table"/>
    <x v="2"/>
    <n v="5"/>
    <n v="1618.59"/>
    <x v="379"/>
    <x v="2"/>
    <n v="8092.95"/>
    <x v="8"/>
    <x v="0"/>
  </r>
  <r>
    <s v="ORD0381"/>
    <x v="215"/>
    <x v="18"/>
    <s v="Watch"/>
    <x v="0"/>
    <n v="2"/>
    <n v="392.51"/>
    <x v="380"/>
    <x v="2"/>
    <n v="785.02"/>
    <x v="3"/>
    <x v="0"/>
  </r>
  <r>
    <s v="ORD0382"/>
    <x v="51"/>
    <x v="34"/>
    <s v="Bag"/>
    <x v="0"/>
    <n v="5"/>
    <n v="485.96"/>
    <x v="381"/>
    <x v="3"/>
    <n v="2429.7999999999997"/>
    <x v="5"/>
    <x v="0"/>
  </r>
  <r>
    <s v="ORD0383"/>
    <x v="201"/>
    <x v="36"/>
    <s v="Headphones"/>
    <x v="3"/>
    <n v="2"/>
    <n v="1805.2"/>
    <x v="382"/>
    <x v="2"/>
    <n v="3610.4"/>
    <x v="0"/>
    <x v="0"/>
  </r>
  <r>
    <s v="ORD0384"/>
    <x v="232"/>
    <x v="90"/>
    <s v="Watch"/>
    <x v="0"/>
    <n v="3"/>
    <n v="220.19"/>
    <x v="383"/>
    <x v="0"/>
    <n v="660.56999999999994"/>
    <x v="0"/>
    <x v="0"/>
  </r>
  <r>
    <s v="ORD0385"/>
    <x v="233"/>
    <x v="100"/>
    <s v="Jacket"/>
    <x v="1"/>
    <n v="4"/>
    <n v="532.22"/>
    <x v="384"/>
    <x v="2"/>
    <n v="2128.88"/>
    <x v="2"/>
    <x v="0"/>
  </r>
  <r>
    <s v="ORD0386"/>
    <x v="11"/>
    <x v="116"/>
    <s v="Watch"/>
    <x v="0"/>
    <n v="5"/>
    <n v="777.2"/>
    <x v="385"/>
    <x v="1"/>
    <n v="3886"/>
    <x v="0"/>
    <x v="0"/>
  </r>
  <r>
    <s v="ORD0387"/>
    <x v="234"/>
    <x v="10"/>
    <s v="Headphones"/>
    <x v="3"/>
    <n v="4"/>
    <n v="1221.47"/>
    <x v="386"/>
    <x v="1"/>
    <n v="4885.88"/>
    <x v="7"/>
    <x v="0"/>
  </r>
  <r>
    <s v="ORD0388"/>
    <x v="235"/>
    <x v="101"/>
    <s v="Laptop"/>
    <x v="3"/>
    <n v="5"/>
    <n v="1239.8499999999999"/>
    <x v="387"/>
    <x v="3"/>
    <n v="6199.25"/>
    <x v="2"/>
    <x v="0"/>
  </r>
  <r>
    <s v="ORD0389"/>
    <x v="236"/>
    <x v="92"/>
    <s v="Bag"/>
    <x v="0"/>
    <n v="4"/>
    <n v="642.65"/>
    <x v="388"/>
    <x v="2"/>
    <n v="2570.6"/>
    <x v="3"/>
    <x v="0"/>
  </r>
  <r>
    <s v="ORD0390"/>
    <x v="222"/>
    <x v="76"/>
    <s v="Laptop"/>
    <x v="3"/>
    <n v="3"/>
    <n v="1783.58"/>
    <x v="389"/>
    <x v="3"/>
    <n v="5350.74"/>
    <x v="8"/>
    <x v="0"/>
  </r>
  <r>
    <s v="ORD0391"/>
    <x v="237"/>
    <x v="33"/>
    <s v="Chair"/>
    <x v="2"/>
    <n v="5"/>
    <n v="928.39"/>
    <x v="390"/>
    <x v="0"/>
    <n v="4641.95"/>
    <x v="6"/>
    <x v="0"/>
  </r>
  <r>
    <s v="ORD0392"/>
    <x v="1"/>
    <x v="54"/>
    <s v="Table"/>
    <x v="2"/>
    <n v="4"/>
    <n v="377.09"/>
    <x v="391"/>
    <x v="1"/>
    <n v="1508.36"/>
    <x v="1"/>
    <x v="0"/>
  </r>
  <r>
    <s v="ORD0393"/>
    <x v="44"/>
    <x v="0"/>
    <s v="Jacket"/>
    <x v="1"/>
    <n v="3"/>
    <n v="1617.5"/>
    <x v="392"/>
    <x v="1"/>
    <n v="4852.5"/>
    <x v="8"/>
    <x v="0"/>
  </r>
  <r>
    <s v="ORD0394"/>
    <x v="238"/>
    <x v="12"/>
    <s v="Chair"/>
    <x v="2"/>
    <n v="4"/>
    <n v="416.54"/>
    <x v="393"/>
    <x v="1"/>
    <n v="1666.16"/>
    <x v="1"/>
    <x v="0"/>
  </r>
  <r>
    <s v="ORD0395"/>
    <x v="211"/>
    <x v="7"/>
    <s v="Shoes"/>
    <x v="1"/>
    <n v="1"/>
    <n v="1905.11"/>
    <x v="394"/>
    <x v="0"/>
    <n v="1905.11"/>
    <x v="5"/>
    <x v="0"/>
  </r>
  <r>
    <s v="ORD0396"/>
    <x v="41"/>
    <x v="3"/>
    <s v="Watch"/>
    <x v="0"/>
    <n v="2"/>
    <n v="942.12"/>
    <x v="395"/>
    <x v="0"/>
    <n v="1884.24"/>
    <x v="7"/>
    <x v="0"/>
  </r>
  <r>
    <s v="ORD0397"/>
    <x v="97"/>
    <x v="67"/>
    <s v="Shoes"/>
    <x v="1"/>
    <n v="5"/>
    <n v="1484.3"/>
    <x v="396"/>
    <x v="3"/>
    <n v="7421.5"/>
    <x v="3"/>
    <x v="0"/>
  </r>
  <r>
    <s v="ORD0398"/>
    <x v="140"/>
    <x v="22"/>
    <s v="Shoes"/>
    <x v="1"/>
    <n v="3"/>
    <n v="628.34"/>
    <x v="397"/>
    <x v="0"/>
    <n v="1885.02"/>
    <x v="2"/>
    <x v="0"/>
  </r>
  <r>
    <s v="ORD0399"/>
    <x v="2"/>
    <x v="28"/>
    <s v="Watch"/>
    <x v="0"/>
    <n v="1"/>
    <n v="1828.47"/>
    <x v="398"/>
    <x v="3"/>
    <n v="1828.47"/>
    <x v="2"/>
    <x v="0"/>
  </r>
  <r>
    <s v="ORD0400"/>
    <x v="239"/>
    <x v="30"/>
    <s v="Bag"/>
    <x v="0"/>
    <n v="1"/>
    <n v="554.70000000000005"/>
    <x v="399"/>
    <x v="3"/>
    <n v="554.70000000000005"/>
    <x v="9"/>
    <x v="0"/>
  </r>
  <r>
    <s v="ORD0401"/>
    <x v="95"/>
    <x v="18"/>
    <s v="Chair"/>
    <x v="2"/>
    <n v="3"/>
    <n v="1442.74"/>
    <x v="400"/>
    <x v="1"/>
    <n v="4328.22"/>
    <x v="3"/>
    <x v="0"/>
  </r>
  <r>
    <s v="ORD0402"/>
    <x v="240"/>
    <x v="95"/>
    <s v="Headphones"/>
    <x v="3"/>
    <n v="3"/>
    <n v="647.75"/>
    <x v="401"/>
    <x v="2"/>
    <n v="1943.25"/>
    <x v="8"/>
    <x v="0"/>
  </r>
  <r>
    <s v="ORD0403"/>
    <x v="241"/>
    <x v="108"/>
    <s v="Headphones"/>
    <x v="3"/>
    <n v="3"/>
    <n v="407.89"/>
    <x v="402"/>
    <x v="3"/>
    <n v="1223.67"/>
    <x v="7"/>
    <x v="0"/>
  </r>
  <r>
    <s v="ORD0404"/>
    <x v="94"/>
    <x v="59"/>
    <s v="Phone"/>
    <x v="3"/>
    <n v="5"/>
    <n v="938.7"/>
    <x v="403"/>
    <x v="3"/>
    <n v="4693.5"/>
    <x v="10"/>
    <x v="0"/>
  </r>
  <r>
    <s v="ORD0405"/>
    <x v="3"/>
    <x v="20"/>
    <s v="Shoes"/>
    <x v="1"/>
    <n v="3"/>
    <n v="452.36"/>
    <x v="404"/>
    <x v="3"/>
    <n v="1357.08"/>
    <x v="3"/>
    <x v="0"/>
  </r>
  <r>
    <s v="ORD0406"/>
    <x v="242"/>
    <x v="22"/>
    <s v="Chair"/>
    <x v="2"/>
    <n v="5"/>
    <n v="764.58"/>
    <x v="405"/>
    <x v="3"/>
    <n v="3822.9"/>
    <x v="4"/>
    <x v="0"/>
  </r>
  <r>
    <s v="ORD0407"/>
    <x v="243"/>
    <x v="65"/>
    <s v="Phone"/>
    <x v="3"/>
    <n v="1"/>
    <n v="1606.18"/>
    <x v="406"/>
    <x v="1"/>
    <n v="1606.18"/>
    <x v="3"/>
    <x v="0"/>
  </r>
  <r>
    <s v="ORD0408"/>
    <x v="82"/>
    <x v="87"/>
    <s v="Shoes"/>
    <x v="1"/>
    <n v="4"/>
    <n v="444.41"/>
    <x v="407"/>
    <x v="2"/>
    <n v="1777.64"/>
    <x v="6"/>
    <x v="0"/>
  </r>
  <r>
    <s v="ORD0409"/>
    <x v="20"/>
    <x v="59"/>
    <s v="Bag"/>
    <x v="0"/>
    <n v="1"/>
    <n v="1314.29"/>
    <x v="408"/>
    <x v="0"/>
    <n v="1314.29"/>
    <x v="7"/>
    <x v="0"/>
  </r>
  <r>
    <s v="ORD0410"/>
    <x v="244"/>
    <x v="38"/>
    <s v="Phone"/>
    <x v="3"/>
    <n v="1"/>
    <n v="374.91"/>
    <x v="409"/>
    <x v="3"/>
    <n v="374.91"/>
    <x v="7"/>
    <x v="0"/>
  </r>
  <r>
    <s v="ORD0411"/>
    <x v="245"/>
    <x v="113"/>
    <s v="Shoes"/>
    <x v="1"/>
    <n v="3"/>
    <n v="1053.68"/>
    <x v="410"/>
    <x v="1"/>
    <n v="3161.04"/>
    <x v="3"/>
    <x v="0"/>
  </r>
  <r>
    <s v="ORD0412"/>
    <x v="46"/>
    <x v="16"/>
    <s v="Table"/>
    <x v="2"/>
    <n v="1"/>
    <n v="83.2"/>
    <x v="411"/>
    <x v="1"/>
    <n v="83.2"/>
    <x v="5"/>
    <x v="0"/>
  </r>
  <r>
    <s v="ORD0413"/>
    <x v="47"/>
    <x v="111"/>
    <s v="Shoes"/>
    <x v="1"/>
    <n v="3"/>
    <n v="1551.22"/>
    <x v="412"/>
    <x v="1"/>
    <n v="4653.66"/>
    <x v="5"/>
    <x v="0"/>
  </r>
  <r>
    <s v="ORD0414"/>
    <x v="117"/>
    <x v="73"/>
    <s v="Bag"/>
    <x v="0"/>
    <n v="3"/>
    <n v="1049.75"/>
    <x v="413"/>
    <x v="3"/>
    <n v="3149.25"/>
    <x v="1"/>
    <x v="0"/>
  </r>
  <r>
    <s v="ORD0415"/>
    <x v="18"/>
    <x v="60"/>
    <s v="Jacket"/>
    <x v="1"/>
    <n v="4"/>
    <n v="276.25"/>
    <x v="414"/>
    <x v="3"/>
    <n v="1105"/>
    <x v="1"/>
    <x v="0"/>
  </r>
  <r>
    <s v="ORD0416"/>
    <x v="246"/>
    <x v="42"/>
    <s v="Shoes"/>
    <x v="1"/>
    <n v="5"/>
    <n v="1809.83"/>
    <x v="415"/>
    <x v="3"/>
    <n v="9049.15"/>
    <x v="7"/>
    <x v="0"/>
  </r>
  <r>
    <s v="ORD0417"/>
    <x v="247"/>
    <x v="58"/>
    <s v="Watch"/>
    <x v="0"/>
    <n v="1"/>
    <n v="181.35"/>
    <x v="416"/>
    <x v="3"/>
    <n v="181.35"/>
    <x v="5"/>
    <x v="0"/>
  </r>
  <r>
    <s v="ORD0418"/>
    <x v="210"/>
    <x v="61"/>
    <s v="Headphones"/>
    <x v="3"/>
    <n v="5"/>
    <n v="380.88"/>
    <x v="417"/>
    <x v="1"/>
    <n v="1904.4"/>
    <x v="9"/>
    <x v="0"/>
  </r>
  <r>
    <s v="ORD0419"/>
    <x v="93"/>
    <x v="117"/>
    <s v="Phone"/>
    <x v="3"/>
    <n v="2"/>
    <n v="1259.71"/>
    <x v="418"/>
    <x v="1"/>
    <n v="2519.42"/>
    <x v="3"/>
    <x v="0"/>
  </r>
  <r>
    <s v="ORD0420"/>
    <x v="115"/>
    <x v="73"/>
    <s v="Watch"/>
    <x v="0"/>
    <n v="3"/>
    <n v="564.95000000000005"/>
    <x v="419"/>
    <x v="3"/>
    <n v="1694.8500000000001"/>
    <x v="11"/>
    <x v="0"/>
  </r>
  <r>
    <s v="ORD0421"/>
    <x v="80"/>
    <x v="88"/>
    <s v="Jacket"/>
    <x v="1"/>
    <n v="1"/>
    <n v="318.38"/>
    <x v="420"/>
    <x v="2"/>
    <n v="318.38"/>
    <x v="5"/>
    <x v="0"/>
  </r>
  <r>
    <s v="ORD0422"/>
    <x v="248"/>
    <x v="7"/>
    <s v="Headphones"/>
    <x v="3"/>
    <n v="1"/>
    <n v="225.3"/>
    <x v="421"/>
    <x v="3"/>
    <n v="225.3"/>
    <x v="11"/>
    <x v="0"/>
  </r>
  <r>
    <s v="ORD0423"/>
    <x v="43"/>
    <x v="66"/>
    <s v="Bag"/>
    <x v="0"/>
    <n v="2"/>
    <n v="1974.33"/>
    <x v="422"/>
    <x v="2"/>
    <n v="3948.66"/>
    <x v="11"/>
    <x v="0"/>
  </r>
  <r>
    <s v="ORD0424"/>
    <x v="249"/>
    <x v="41"/>
    <s v="Jacket"/>
    <x v="1"/>
    <n v="2"/>
    <n v="941.79"/>
    <x v="423"/>
    <x v="1"/>
    <n v="1883.58"/>
    <x v="1"/>
    <x v="0"/>
  </r>
  <r>
    <s v="ORD0425"/>
    <x v="19"/>
    <x v="94"/>
    <s v="Shoes"/>
    <x v="1"/>
    <n v="2"/>
    <n v="1862.88"/>
    <x v="424"/>
    <x v="3"/>
    <n v="3725.76"/>
    <x v="4"/>
    <x v="0"/>
  </r>
  <r>
    <s v="ORD0426"/>
    <x v="212"/>
    <x v="88"/>
    <s v="Headphones"/>
    <x v="3"/>
    <n v="4"/>
    <n v="1260.8699999999999"/>
    <x v="425"/>
    <x v="1"/>
    <n v="5043.4799999999996"/>
    <x v="11"/>
    <x v="0"/>
  </r>
  <r>
    <s v="ORD0427"/>
    <x v="250"/>
    <x v="24"/>
    <s v="Watch"/>
    <x v="0"/>
    <n v="2"/>
    <n v="1101.8499999999999"/>
    <x v="426"/>
    <x v="2"/>
    <n v="2203.6999999999998"/>
    <x v="1"/>
    <x v="0"/>
  </r>
  <r>
    <s v="ORD0428"/>
    <x v="147"/>
    <x v="44"/>
    <s v="Chair"/>
    <x v="2"/>
    <n v="5"/>
    <n v="1037.79"/>
    <x v="427"/>
    <x v="3"/>
    <n v="5188.95"/>
    <x v="1"/>
    <x v="0"/>
  </r>
  <r>
    <s v="ORD0429"/>
    <x v="43"/>
    <x v="14"/>
    <s v="Watch"/>
    <x v="0"/>
    <n v="2"/>
    <n v="1938.15"/>
    <x v="428"/>
    <x v="2"/>
    <n v="3876.3"/>
    <x v="11"/>
    <x v="0"/>
  </r>
  <r>
    <s v="ORD0430"/>
    <x v="58"/>
    <x v="106"/>
    <s v="Phone"/>
    <x v="3"/>
    <n v="3"/>
    <n v="977.55"/>
    <x v="429"/>
    <x v="3"/>
    <n v="2932.6499999999996"/>
    <x v="5"/>
    <x v="0"/>
  </r>
  <r>
    <s v="ORD0431"/>
    <x v="251"/>
    <x v="20"/>
    <s v="Bag"/>
    <x v="0"/>
    <n v="4"/>
    <n v="1049.04"/>
    <x v="430"/>
    <x v="3"/>
    <n v="4196.16"/>
    <x v="6"/>
    <x v="0"/>
  </r>
  <r>
    <s v="ORD0432"/>
    <x v="252"/>
    <x v="3"/>
    <s v="Shoes"/>
    <x v="1"/>
    <n v="2"/>
    <n v="674.44"/>
    <x v="431"/>
    <x v="1"/>
    <n v="1348.88"/>
    <x v="3"/>
    <x v="0"/>
  </r>
  <r>
    <s v="ORD0433"/>
    <x v="253"/>
    <x v="72"/>
    <s v="Headphones"/>
    <x v="3"/>
    <n v="1"/>
    <n v="767.21"/>
    <x v="432"/>
    <x v="1"/>
    <n v="767.21"/>
    <x v="3"/>
    <x v="0"/>
  </r>
  <r>
    <s v="ORD0434"/>
    <x v="254"/>
    <x v="97"/>
    <s v="Table"/>
    <x v="2"/>
    <n v="4"/>
    <n v="590"/>
    <x v="433"/>
    <x v="3"/>
    <n v="2360"/>
    <x v="0"/>
    <x v="0"/>
  </r>
  <r>
    <s v="ORD0435"/>
    <x v="250"/>
    <x v="42"/>
    <s v="Phone"/>
    <x v="3"/>
    <n v="3"/>
    <n v="1796.7"/>
    <x v="434"/>
    <x v="1"/>
    <n v="5390.1"/>
    <x v="1"/>
    <x v="0"/>
  </r>
  <r>
    <s v="ORD0436"/>
    <x v="255"/>
    <x v="105"/>
    <s v="Shoes"/>
    <x v="1"/>
    <n v="5"/>
    <n v="960.12"/>
    <x v="435"/>
    <x v="0"/>
    <n v="4800.6000000000004"/>
    <x v="5"/>
    <x v="0"/>
  </r>
  <r>
    <s v="ORD0437"/>
    <x v="256"/>
    <x v="80"/>
    <s v="Laptop"/>
    <x v="3"/>
    <n v="2"/>
    <n v="655.41"/>
    <x v="436"/>
    <x v="2"/>
    <n v="1310.82"/>
    <x v="5"/>
    <x v="0"/>
  </r>
  <r>
    <s v="ORD0438"/>
    <x v="23"/>
    <x v="115"/>
    <s v="Laptop"/>
    <x v="3"/>
    <n v="2"/>
    <n v="952.58"/>
    <x v="437"/>
    <x v="2"/>
    <n v="1905.16"/>
    <x v="2"/>
    <x v="0"/>
  </r>
  <r>
    <s v="ORD0439"/>
    <x v="36"/>
    <x v="26"/>
    <s v="Headphones"/>
    <x v="3"/>
    <n v="2"/>
    <n v="1136.56"/>
    <x v="438"/>
    <x v="0"/>
    <n v="2273.12"/>
    <x v="1"/>
    <x v="0"/>
  </r>
  <r>
    <s v="ORD0440"/>
    <x v="58"/>
    <x v="113"/>
    <s v="Phone"/>
    <x v="3"/>
    <n v="3"/>
    <n v="1454.53"/>
    <x v="439"/>
    <x v="2"/>
    <n v="4363.59"/>
    <x v="5"/>
    <x v="0"/>
  </r>
  <r>
    <s v="ORD0441"/>
    <x v="24"/>
    <x v="91"/>
    <s v="Phone"/>
    <x v="3"/>
    <n v="3"/>
    <n v="1620.62"/>
    <x v="440"/>
    <x v="0"/>
    <n v="4861.8599999999997"/>
    <x v="11"/>
    <x v="0"/>
  </r>
  <r>
    <s v="ORD0442"/>
    <x v="174"/>
    <x v="32"/>
    <s v="Phone"/>
    <x v="3"/>
    <n v="1"/>
    <n v="1681.51"/>
    <x v="441"/>
    <x v="3"/>
    <n v="1681.51"/>
    <x v="8"/>
    <x v="0"/>
  </r>
  <r>
    <s v="ORD0443"/>
    <x v="184"/>
    <x v="85"/>
    <s v="Phone"/>
    <x v="3"/>
    <n v="4"/>
    <n v="781.88"/>
    <x v="442"/>
    <x v="3"/>
    <n v="3127.52"/>
    <x v="10"/>
    <x v="0"/>
  </r>
  <r>
    <s v="ORD0444"/>
    <x v="23"/>
    <x v="102"/>
    <s v="Jacket"/>
    <x v="1"/>
    <n v="4"/>
    <n v="745.27"/>
    <x v="443"/>
    <x v="2"/>
    <n v="2981.08"/>
    <x v="2"/>
    <x v="0"/>
  </r>
  <r>
    <s v="ORD0445"/>
    <x v="257"/>
    <x v="24"/>
    <s v="Laptop"/>
    <x v="3"/>
    <n v="1"/>
    <n v="1086.3"/>
    <x v="444"/>
    <x v="2"/>
    <n v="1086.3"/>
    <x v="2"/>
    <x v="0"/>
  </r>
  <r>
    <s v="ORD0446"/>
    <x v="258"/>
    <x v="62"/>
    <s v="Shoes"/>
    <x v="1"/>
    <n v="4"/>
    <n v="1138.3900000000001"/>
    <x v="445"/>
    <x v="0"/>
    <n v="4553.5600000000004"/>
    <x v="2"/>
    <x v="0"/>
  </r>
  <r>
    <s v="ORD0447"/>
    <x v="96"/>
    <x v="29"/>
    <s v="Watch"/>
    <x v="0"/>
    <n v="5"/>
    <n v="69.67"/>
    <x v="446"/>
    <x v="2"/>
    <n v="348.35"/>
    <x v="11"/>
    <x v="0"/>
  </r>
  <r>
    <s v="ORD0448"/>
    <x v="259"/>
    <x v="80"/>
    <s v="Chair"/>
    <x v="2"/>
    <n v="4"/>
    <n v="852.94"/>
    <x v="447"/>
    <x v="2"/>
    <n v="3411.76"/>
    <x v="7"/>
    <x v="0"/>
  </r>
  <r>
    <s v="ORD0449"/>
    <x v="194"/>
    <x v="85"/>
    <s v="Table"/>
    <x v="2"/>
    <n v="3"/>
    <n v="1112.53"/>
    <x v="448"/>
    <x v="1"/>
    <n v="3337.59"/>
    <x v="9"/>
    <x v="0"/>
  </r>
  <r>
    <s v="ORD0450"/>
    <x v="260"/>
    <x v="2"/>
    <s v="Jacket"/>
    <x v="1"/>
    <n v="3"/>
    <n v="1355.2"/>
    <x v="449"/>
    <x v="3"/>
    <n v="4065.6000000000004"/>
    <x v="1"/>
    <x v="0"/>
  </r>
  <r>
    <s v="ORD0451"/>
    <x v="89"/>
    <x v="42"/>
    <s v="Table"/>
    <x v="2"/>
    <n v="4"/>
    <n v="1687.49"/>
    <x v="450"/>
    <x v="1"/>
    <n v="6749.96"/>
    <x v="9"/>
    <x v="0"/>
  </r>
  <r>
    <s v="ORD0452"/>
    <x v="261"/>
    <x v="84"/>
    <s v="Table"/>
    <x v="2"/>
    <n v="5"/>
    <n v="1150.75"/>
    <x v="451"/>
    <x v="0"/>
    <n v="5753.75"/>
    <x v="8"/>
    <x v="0"/>
  </r>
  <r>
    <s v="ORD0453"/>
    <x v="262"/>
    <x v="59"/>
    <s v="Phone"/>
    <x v="3"/>
    <n v="2"/>
    <n v="757.89"/>
    <x v="452"/>
    <x v="0"/>
    <n v="1515.78"/>
    <x v="2"/>
    <x v="0"/>
  </r>
  <r>
    <s v="ORD0454"/>
    <x v="30"/>
    <x v="112"/>
    <s v="Shoes"/>
    <x v="1"/>
    <n v="4"/>
    <n v="1777.47"/>
    <x v="453"/>
    <x v="2"/>
    <n v="7109.88"/>
    <x v="10"/>
    <x v="0"/>
  </r>
  <r>
    <s v="ORD0455"/>
    <x v="80"/>
    <x v="2"/>
    <s v="Shoes"/>
    <x v="1"/>
    <n v="2"/>
    <n v="1880.71"/>
    <x v="454"/>
    <x v="2"/>
    <n v="3761.42"/>
    <x v="5"/>
    <x v="0"/>
  </r>
  <r>
    <s v="ORD0456"/>
    <x v="193"/>
    <x v="91"/>
    <s v="Phone"/>
    <x v="3"/>
    <n v="5"/>
    <n v="1178.8499999999999"/>
    <x v="455"/>
    <x v="2"/>
    <n v="5894.25"/>
    <x v="6"/>
    <x v="0"/>
  </r>
  <r>
    <s v="ORD0457"/>
    <x v="120"/>
    <x v="1"/>
    <s v="Table"/>
    <x v="2"/>
    <n v="5"/>
    <n v="556.46"/>
    <x v="456"/>
    <x v="3"/>
    <n v="2782.3"/>
    <x v="5"/>
    <x v="0"/>
  </r>
  <r>
    <s v="ORD0458"/>
    <x v="72"/>
    <x v="45"/>
    <s v="Jacket"/>
    <x v="1"/>
    <n v="3"/>
    <n v="349.42"/>
    <x v="457"/>
    <x v="0"/>
    <n v="1048.26"/>
    <x v="6"/>
    <x v="0"/>
  </r>
  <r>
    <s v="ORD0459"/>
    <x v="17"/>
    <x v="21"/>
    <s v="Laptop"/>
    <x v="3"/>
    <n v="3"/>
    <n v="1345.82"/>
    <x v="458"/>
    <x v="1"/>
    <n v="4037.46"/>
    <x v="9"/>
    <x v="0"/>
  </r>
  <r>
    <s v="ORD0460"/>
    <x v="137"/>
    <x v="0"/>
    <s v="Headphones"/>
    <x v="3"/>
    <n v="3"/>
    <n v="1528.1"/>
    <x v="459"/>
    <x v="2"/>
    <n v="4584.2999999999993"/>
    <x v="11"/>
    <x v="0"/>
  </r>
  <r>
    <s v="ORD0461"/>
    <x v="97"/>
    <x v="118"/>
    <s v="Phone"/>
    <x v="3"/>
    <n v="2"/>
    <n v="910.99"/>
    <x v="460"/>
    <x v="2"/>
    <n v="1821.98"/>
    <x v="3"/>
    <x v="0"/>
  </r>
  <r>
    <s v="ORD0462"/>
    <x v="92"/>
    <x v="13"/>
    <s v="Chair"/>
    <x v="2"/>
    <n v="1"/>
    <n v="1259.56"/>
    <x v="461"/>
    <x v="3"/>
    <n v="1259.56"/>
    <x v="0"/>
    <x v="0"/>
  </r>
  <r>
    <s v="ORD0463"/>
    <x v="133"/>
    <x v="77"/>
    <s v="Jacket"/>
    <x v="1"/>
    <n v="5"/>
    <n v="425.53"/>
    <x v="462"/>
    <x v="1"/>
    <n v="2127.6499999999996"/>
    <x v="11"/>
    <x v="0"/>
  </r>
  <r>
    <s v="ORD0464"/>
    <x v="252"/>
    <x v="33"/>
    <s v="Shoes"/>
    <x v="1"/>
    <n v="2"/>
    <n v="998.34"/>
    <x v="463"/>
    <x v="2"/>
    <n v="1996.68"/>
    <x v="3"/>
    <x v="0"/>
  </r>
  <r>
    <s v="ORD0465"/>
    <x v="248"/>
    <x v="114"/>
    <s v="Table"/>
    <x v="2"/>
    <n v="5"/>
    <n v="1859.94"/>
    <x v="464"/>
    <x v="1"/>
    <n v="9299.7000000000007"/>
    <x v="11"/>
    <x v="0"/>
  </r>
  <r>
    <s v="ORD0466"/>
    <x v="59"/>
    <x v="13"/>
    <s v="Table"/>
    <x v="2"/>
    <n v="5"/>
    <n v="1499.76"/>
    <x v="465"/>
    <x v="3"/>
    <n v="7498.8"/>
    <x v="2"/>
    <x v="0"/>
  </r>
  <r>
    <s v="ORD0467"/>
    <x v="61"/>
    <x v="16"/>
    <s v="Table"/>
    <x v="2"/>
    <n v="1"/>
    <n v="621.74"/>
    <x v="466"/>
    <x v="0"/>
    <n v="621.74"/>
    <x v="10"/>
    <x v="0"/>
  </r>
  <r>
    <s v="ORD0468"/>
    <x v="192"/>
    <x v="102"/>
    <s v="Jacket"/>
    <x v="1"/>
    <n v="5"/>
    <n v="1701.2"/>
    <x v="467"/>
    <x v="0"/>
    <n v="8506"/>
    <x v="9"/>
    <x v="0"/>
  </r>
  <r>
    <s v="ORD0469"/>
    <x v="229"/>
    <x v="20"/>
    <s v="Bag"/>
    <x v="0"/>
    <n v="5"/>
    <n v="1014.68"/>
    <x v="468"/>
    <x v="0"/>
    <n v="5073.3999999999996"/>
    <x v="3"/>
    <x v="0"/>
  </r>
  <r>
    <s v="ORD0470"/>
    <x v="194"/>
    <x v="103"/>
    <s v="Chair"/>
    <x v="2"/>
    <n v="4"/>
    <n v="1784.33"/>
    <x v="469"/>
    <x v="1"/>
    <n v="7137.32"/>
    <x v="9"/>
    <x v="0"/>
  </r>
  <r>
    <s v="ORD0471"/>
    <x v="95"/>
    <x v="65"/>
    <s v="Watch"/>
    <x v="0"/>
    <n v="4"/>
    <n v="1553.59"/>
    <x v="470"/>
    <x v="2"/>
    <n v="6214.36"/>
    <x v="3"/>
    <x v="0"/>
  </r>
  <r>
    <s v="ORD0472"/>
    <x v="182"/>
    <x v="69"/>
    <s v="Watch"/>
    <x v="0"/>
    <n v="2"/>
    <n v="835.42"/>
    <x v="471"/>
    <x v="0"/>
    <n v="1670.84"/>
    <x v="3"/>
    <x v="0"/>
  </r>
  <r>
    <s v="ORD0473"/>
    <x v="33"/>
    <x v="88"/>
    <s v="Table"/>
    <x v="2"/>
    <n v="4"/>
    <n v="381.63"/>
    <x v="472"/>
    <x v="2"/>
    <n v="1526.52"/>
    <x v="7"/>
    <x v="0"/>
  </r>
  <r>
    <s v="ORD0474"/>
    <x v="160"/>
    <x v="17"/>
    <s v="Table"/>
    <x v="2"/>
    <n v="4"/>
    <n v="408.45"/>
    <x v="473"/>
    <x v="2"/>
    <n v="1633.8"/>
    <x v="5"/>
    <x v="0"/>
  </r>
  <r>
    <s v="ORD0475"/>
    <x v="263"/>
    <x v="94"/>
    <s v="Bag"/>
    <x v="0"/>
    <n v="1"/>
    <n v="1201.99"/>
    <x v="474"/>
    <x v="1"/>
    <n v="1201.99"/>
    <x v="10"/>
    <x v="0"/>
  </r>
  <r>
    <s v="ORD0476"/>
    <x v="241"/>
    <x v="15"/>
    <s v="Phone"/>
    <x v="3"/>
    <n v="1"/>
    <n v="1214.1400000000001"/>
    <x v="475"/>
    <x v="0"/>
    <n v="1214.1400000000001"/>
    <x v="7"/>
    <x v="0"/>
  </r>
  <r>
    <s v="ORD0477"/>
    <x v="35"/>
    <x v="26"/>
    <s v="Shoes"/>
    <x v="1"/>
    <n v="2"/>
    <n v="791.51"/>
    <x v="476"/>
    <x v="0"/>
    <n v="1583.02"/>
    <x v="8"/>
    <x v="0"/>
  </r>
  <r>
    <s v="ORD0478"/>
    <x v="207"/>
    <x v="20"/>
    <s v="Jacket"/>
    <x v="1"/>
    <n v="1"/>
    <n v="1610.41"/>
    <x v="477"/>
    <x v="3"/>
    <n v="1610.41"/>
    <x v="6"/>
    <x v="0"/>
  </r>
  <r>
    <s v="ORD0479"/>
    <x v="199"/>
    <x v="80"/>
    <s v="Phone"/>
    <x v="3"/>
    <n v="3"/>
    <n v="1395.04"/>
    <x v="478"/>
    <x v="3"/>
    <n v="4185.12"/>
    <x v="10"/>
    <x v="0"/>
  </r>
  <r>
    <s v="ORD0480"/>
    <x v="221"/>
    <x v="76"/>
    <s v="Chair"/>
    <x v="2"/>
    <n v="2"/>
    <n v="1534.73"/>
    <x v="479"/>
    <x v="2"/>
    <n v="3069.46"/>
    <x v="11"/>
    <x v="0"/>
  </r>
  <r>
    <s v="ORD0481"/>
    <x v="264"/>
    <x v="27"/>
    <s v="Phone"/>
    <x v="3"/>
    <n v="3"/>
    <n v="504.21"/>
    <x v="480"/>
    <x v="3"/>
    <n v="1512.6299999999999"/>
    <x v="9"/>
    <x v="0"/>
  </r>
  <r>
    <s v="ORD0482"/>
    <x v="235"/>
    <x v="14"/>
    <s v="Jacket"/>
    <x v="1"/>
    <n v="5"/>
    <n v="205.61"/>
    <x v="481"/>
    <x v="0"/>
    <n v="1028.0500000000002"/>
    <x v="2"/>
    <x v="0"/>
  </r>
  <r>
    <s v="ORD0483"/>
    <x v="60"/>
    <x v="78"/>
    <s v="Phone"/>
    <x v="3"/>
    <n v="3"/>
    <n v="1529.3"/>
    <x v="482"/>
    <x v="1"/>
    <n v="4587.8999999999996"/>
    <x v="0"/>
    <x v="0"/>
  </r>
  <r>
    <s v="ORD0484"/>
    <x v="121"/>
    <x v="57"/>
    <s v="Phone"/>
    <x v="3"/>
    <n v="4"/>
    <n v="900.41"/>
    <x v="483"/>
    <x v="1"/>
    <n v="3601.64"/>
    <x v="6"/>
    <x v="0"/>
  </r>
  <r>
    <s v="ORD0485"/>
    <x v="5"/>
    <x v="115"/>
    <s v="Headphones"/>
    <x v="3"/>
    <n v="2"/>
    <n v="1205.2"/>
    <x v="484"/>
    <x v="0"/>
    <n v="2410.4"/>
    <x v="4"/>
    <x v="0"/>
  </r>
  <r>
    <s v="ORD0486"/>
    <x v="265"/>
    <x v="12"/>
    <s v="Watch"/>
    <x v="0"/>
    <n v="4"/>
    <n v="366.09"/>
    <x v="485"/>
    <x v="1"/>
    <n v="1464.36"/>
    <x v="3"/>
    <x v="0"/>
  </r>
  <r>
    <s v="ORD0487"/>
    <x v="45"/>
    <x v="69"/>
    <s v="Watch"/>
    <x v="0"/>
    <n v="1"/>
    <n v="1572.63"/>
    <x v="486"/>
    <x v="1"/>
    <n v="1572.63"/>
    <x v="5"/>
    <x v="0"/>
  </r>
  <r>
    <s v="ORD0488"/>
    <x v="176"/>
    <x v="45"/>
    <s v="Bag"/>
    <x v="0"/>
    <n v="4"/>
    <n v="1605.85"/>
    <x v="487"/>
    <x v="2"/>
    <n v="6423.4"/>
    <x v="0"/>
    <x v="0"/>
  </r>
  <r>
    <s v="ORD0489"/>
    <x v="190"/>
    <x v="38"/>
    <s v="Laptop"/>
    <x v="3"/>
    <n v="5"/>
    <n v="812.96"/>
    <x v="488"/>
    <x v="3"/>
    <n v="4064.8"/>
    <x v="8"/>
    <x v="0"/>
  </r>
  <r>
    <s v="ORD0490"/>
    <x v="266"/>
    <x v="77"/>
    <s v="Shoes"/>
    <x v="1"/>
    <n v="3"/>
    <n v="847.97"/>
    <x v="489"/>
    <x v="0"/>
    <n v="2543.91"/>
    <x v="8"/>
    <x v="0"/>
  </r>
  <r>
    <s v="ORD0491"/>
    <x v="61"/>
    <x v="105"/>
    <s v="Headphones"/>
    <x v="3"/>
    <n v="5"/>
    <n v="1519.85"/>
    <x v="490"/>
    <x v="0"/>
    <n v="7599.25"/>
    <x v="10"/>
    <x v="0"/>
  </r>
  <r>
    <s v="ORD0492"/>
    <x v="189"/>
    <x v="97"/>
    <s v="Jacket"/>
    <x v="1"/>
    <n v="3"/>
    <n v="1017.82"/>
    <x v="491"/>
    <x v="1"/>
    <n v="3053.46"/>
    <x v="3"/>
    <x v="0"/>
  </r>
  <r>
    <s v="ORD0493"/>
    <x v="10"/>
    <x v="55"/>
    <s v="Table"/>
    <x v="2"/>
    <n v="2"/>
    <n v="639.80999999999995"/>
    <x v="492"/>
    <x v="0"/>
    <n v="1279.6199999999999"/>
    <x v="4"/>
    <x v="0"/>
  </r>
  <r>
    <s v="ORD0494"/>
    <x v="199"/>
    <x v="46"/>
    <s v="Headphones"/>
    <x v="3"/>
    <n v="2"/>
    <n v="1479.35"/>
    <x v="493"/>
    <x v="2"/>
    <n v="2958.7"/>
    <x v="10"/>
    <x v="0"/>
  </r>
  <r>
    <s v="ORD0495"/>
    <x v="267"/>
    <x v="86"/>
    <s v="Jacket"/>
    <x v="1"/>
    <n v="5"/>
    <n v="887.75"/>
    <x v="494"/>
    <x v="2"/>
    <n v="4438.75"/>
    <x v="2"/>
    <x v="0"/>
  </r>
  <r>
    <s v="ORD0496"/>
    <x v="268"/>
    <x v="13"/>
    <s v="Chair"/>
    <x v="2"/>
    <n v="5"/>
    <n v="292.10000000000002"/>
    <x v="495"/>
    <x v="3"/>
    <n v="1460.5"/>
    <x v="9"/>
    <x v="0"/>
  </r>
  <r>
    <s v="ORD0497"/>
    <x v="269"/>
    <x v="82"/>
    <s v="Watch"/>
    <x v="0"/>
    <n v="2"/>
    <n v="816.2"/>
    <x v="496"/>
    <x v="3"/>
    <n v="1632.4"/>
    <x v="1"/>
    <x v="0"/>
  </r>
  <r>
    <s v="ORD0498"/>
    <x v="270"/>
    <x v="69"/>
    <s v="Watch"/>
    <x v="0"/>
    <n v="2"/>
    <n v="788"/>
    <x v="497"/>
    <x v="1"/>
    <n v="1576"/>
    <x v="8"/>
    <x v="0"/>
  </r>
  <r>
    <s v="ORD0499"/>
    <x v="45"/>
    <x v="89"/>
    <s v="Jacket"/>
    <x v="1"/>
    <n v="5"/>
    <n v="1706.97"/>
    <x v="498"/>
    <x v="2"/>
    <n v="8534.85"/>
    <x v="5"/>
    <x v="0"/>
  </r>
  <r>
    <s v="ORD0500"/>
    <x v="10"/>
    <x v="89"/>
    <s v="Watch"/>
    <x v="0"/>
    <n v="5"/>
    <n v="1586.67"/>
    <x v="499"/>
    <x v="3"/>
    <n v="7933.35"/>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FC211-E034-4D49-BF49-38B3E27237DD}" name="PivotTable9"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79" firstHeaderRow="0" firstDataRow="1" firstDataCol="0"/>
  <pivotFields count="12">
    <pivotField dataField="1" showAll="0"/>
    <pivotField showAll="0"/>
    <pivotField showAll="0"/>
    <pivotField showAll="0"/>
    <pivotField showAll="0">
      <items count="5">
        <item x="0"/>
        <item x="3"/>
        <item x="1"/>
        <item x="2"/>
        <item t="default"/>
      </items>
    </pivotField>
    <pivotField showAll="0"/>
    <pivotField showAll="0"/>
    <pivotField dataField="1" showAll="0"/>
    <pivotField showAll="0">
      <items count="5">
        <item x="3"/>
        <item x="0"/>
        <item x="1"/>
        <item x="2"/>
        <item t="default"/>
      </items>
    </pivotField>
    <pivotField showAll="0"/>
    <pivotField showAll="0"/>
    <pivotField showAll="0">
      <items count="3">
        <item x="0"/>
        <item x="1"/>
        <item t="default"/>
      </items>
    </pivotField>
  </pivotFields>
  <rowItems count="1">
    <i/>
  </rowItems>
  <colFields count="1">
    <field x="-2"/>
  </colFields>
  <colItems count="2">
    <i>
      <x/>
    </i>
    <i i="1">
      <x v="1"/>
    </i>
  </colItems>
  <dataFields count="2">
    <dataField name="Sum of Revenue" fld="7"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73585-ECB4-4214-9344-BBF312F668B9}"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B42" firstHeaderRow="1" firstDataRow="1" firstDataCol="1"/>
  <pivotFields count="12">
    <pivotField showAll="0"/>
    <pivotField showAll="0"/>
    <pivotField showAll="0"/>
    <pivotField showAll="0"/>
    <pivotField showAll="0">
      <items count="5">
        <item x="0"/>
        <item x="3"/>
        <item x="1"/>
        <item x="2"/>
        <item t="default"/>
      </items>
    </pivotField>
    <pivotField showAll="0"/>
    <pivotField showAll="0"/>
    <pivotField dataField="1"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s>
  <rowFields count="1">
    <field x="8"/>
  </rowFields>
  <rowItems count="5">
    <i>
      <x v="2"/>
    </i>
    <i>
      <x v="1"/>
    </i>
    <i>
      <x v="3"/>
    </i>
    <i>
      <x/>
    </i>
    <i t="grand">
      <x/>
    </i>
  </rowItems>
  <colItems count="1">
    <i/>
  </colItems>
  <dataFields count="1">
    <dataField name="Sum of Revenue"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16689-706D-4A78-9AB3-73788E685138}"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A70" firstHeaderRow="1" firstDataRow="1" firstDataCol="0"/>
  <pivotFields count="12">
    <pivotField showAll="0"/>
    <pivotField showAll="0"/>
    <pivotField showAll="0"/>
    <pivotField showAll="0"/>
    <pivotField showAll="0">
      <items count="5">
        <item x="0"/>
        <item x="3"/>
        <item x="1"/>
        <item x="2"/>
        <item t="default"/>
      </items>
    </pivotField>
    <pivotField showAll="0"/>
    <pivotField showAll="0"/>
    <pivotField dataField="1" showAll="0"/>
    <pivotField showAll="0">
      <items count="5">
        <item x="3"/>
        <item x="0"/>
        <item x="1"/>
        <item x="2"/>
        <item t="default"/>
      </items>
    </pivotField>
    <pivotField showAll="0"/>
    <pivotField showAll="0"/>
    <pivotField showAll="0">
      <items count="3">
        <item x="0"/>
        <item x="1"/>
        <item t="default"/>
      </items>
    </pivotField>
  </pivotFields>
  <rowItems count="1">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CCE67-2BA5-4BA3-ADE9-0A2EA827B3ED}"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4" firstHeaderRow="1" firstDataRow="1" firstDataCol="1"/>
  <pivotFields count="12">
    <pivotField showAll="0"/>
    <pivotField showAll="0">
      <items count="272">
        <item x="250"/>
        <item x="4"/>
        <item x="165"/>
        <item x="39"/>
        <item x="147"/>
        <item x="18"/>
        <item x="195"/>
        <item x="238"/>
        <item x="27"/>
        <item x="42"/>
        <item x="28"/>
        <item x="9"/>
        <item x="260"/>
        <item x="204"/>
        <item x="269"/>
        <item x="113"/>
        <item x="231"/>
        <item x="249"/>
        <item x="1"/>
        <item x="90"/>
        <item x="36"/>
        <item x="117"/>
        <item x="188"/>
        <item x="141"/>
        <item x="149"/>
        <item x="216"/>
        <item x="168"/>
        <item x="17"/>
        <item x="208"/>
        <item x="268"/>
        <item x="194"/>
        <item x="239"/>
        <item x="180"/>
        <item x="172"/>
        <item x="132"/>
        <item x="101"/>
        <item x="31"/>
        <item x="138"/>
        <item x="89"/>
        <item x="230"/>
        <item x="210"/>
        <item x="192"/>
        <item x="75"/>
        <item x="154"/>
        <item x="264"/>
        <item x="175"/>
        <item x="263"/>
        <item x="183"/>
        <item x="184"/>
        <item x="55"/>
        <item x="22"/>
        <item x="79"/>
        <item x="112"/>
        <item x="167"/>
        <item x="179"/>
        <item x="30"/>
        <item x="142"/>
        <item x="61"/>
        <item x="199"/>
        <item x="74"/>
        <item x="76"/>
        <item x="94"/>
        <item x="126"/>
        <item x="173"/>
        <item x="99"/>
        <item x="14"/>
        <item x="201"/>
        <item x="11"/>
        <item x="176"/>
        <item x="135"/>
        <item x="150"/>
        <item x="21"/>
        <item x="209"/>
        <item x="98"/>
        <item x="254"/>
        <item x="63"/>
        <item x="111"/>
        <item x="232"/>
        <item x="100"/>
        <item x="92"/>
        <item x="0"/>
        <item x="60"/>
        <item x="84"/>
        <item x="157"/>
        <item x="185"/>
        <item x="109"/>
        <item x="108"/>
        <item x="34"/>
        <item x="178"/>
        <item x="247"/>
        <item x="47"/>
        <item x="171"/>
        <item x="160"/>
        <item x="151"/>
        <item x="223"/>
        <item x="255"/>
        <item x="80"/>
        <item x="46"/>
        <item x="7"/>
        <item x="65"/>
        <item x="40"/>
        <item x="86"/>
        <item x="120"/>
        <item x="211"/>
        <item x="67"/>
        <item x="51"/>
        <item x="45"/>
        <item x="25"/>
        <item x="58"/>
        <item x="197"/>
        <item x="73"/>
        <item x="256"/>
        <item x="146"/>
        <item x="207"/>
        <item x="162"/>
        <item x="251"/>
        <item x="196"/>
        <item x="88"/>
        <item x="82"/>
        <item x="139"/>
        <item x="205"/>
        <item x="193"/>
        <item x="12"/>
        <item x="102"/>
        <item x="114"/>
        <item x="198"/>
        <item x="52"/>
        <item x="121"/>
        <item x="15"/>
        <item x="72"/>
        <item x="123"/>
        <item x="237"/>
        <item x="53"/>
        <item x="169"/>
        <item x="164"/>
        <item x="95"/>
        <item x="3"/>
        <item x="64"/>
        <item x="93"/>
        <item x="182"/>
        <item x="104"/>
        <item x="38"/>
        <item x="170"/>
        <item x="217"/>
        <item x="56"/>
        <item x="245"/>
        <item x="161"/>
        <item x="253"/>
        <item x="236"/>
        <item x="229"/>
        <item x="97"/>
        <item x="189"/>
        <item x="243"/>
        <item x="6"/>
        <item x="265"/>
        <item x="181"/>
        <item x="87"/>
        <item x="252"/>
        <item x="215"/>
        <item x="218"/>
        <item x="140"/>
        <item x="233"/>
        <item x="148"/>
        <item x="203"/>
        <item x="29"/>
        <item x="32"/>
        <item x="85"/>
        <item x="59"/>
        <item x="258"/>
        <item x="257"/>
        <item x="70"/>
        <item x="224"/>
        <item x="23"/>
        <item x="267"/>
        <item x="235"/>
        <item x="2"/>
        <item x="127"/>
        <item x="37"/>
        <item x="48"/>
        <item x="134"/>
        <item x="262"/>
        <item x="110"/>
        <item x="26"/>
        <item x="57"/>
        <item x="105"/>
        <item x="212"/>
        <item x="106"/>
        <item x="130"/>
        <item x="133"/>
        <item x="163"/>
        <item x="96"/>
        <item x="128"/>
        <item x="137"/>
        <item x="206"/>
        <item x="221"/>
        <item x="62"/>
        <item x="125"/>
        <item x="77"/>
        <item x="107"/>
        <item x="24"/>
        <item x="115"/>
        <item x="143"/>
        <item x="124"/>
        <item x="248"/>
        <item x="43"/>
        <item x="155"/>
        <item x="166"/>
        <item x="190"/>
        <item x="225"/>
        <item x="44"/>
        <item x="66"/>
        <item x="156"/>
        <item x="81"/>
        <item x="222"/>
        <item x="261"/>
        <item x="174"/>
        <item x="158"/>
        <item x="191"/>
        <item x="78"/>
        <item x="266"/>
        <item x="270"/>
        <item x="240"/>
        <item x="129"/>
        <item x="144"/>
        <item x="152"/>
        <item x="35"/>
        <item x="16"/>
        <item x="136"/>
        <item x="259"/>
        <item x="20"/>
        <item x="234"/>
        <item x="214"/>
        <item x="186"/>
        <item x="50"/>
        <item x="153"/>
        <item x="246"/>
        <item x="33"/>
        <item x="241"/>
        <item x="116"/>
        <item x="177"/>
        <item x="244"/>
        <item x="68"/>
        <item x="227"/>
        <item x="220"/>
        <item x="226"/>
        <item x="131"/>
        <item x="200"/>
        <item x="41"/>
        <item x="13"/>
        <item x="213"/>
        <item x="228"/>
        <item x="49"/>
        <item x="118"/>
        <item x="145"/>
        <item x="54"/>
        <item x="202"/>
        <item x="5"/>
        <item x="19"/>
        <item x="91"/>
        <item x="219"/>
        <item x="119"/>
        <item x="122"/>
        <item x="83"/>
        <item x="242"/>
        <item x="187"/>
        <item x="69"/>
        <item x="71"/>
        <item x="10"/>
        <item x="103"/>
        <item x="8"/>
        <item x="159"/>
        <item t="default"/>
      </items>
    </pivotField>
    <pivotField showAll="0"/>
    <pivotField showAll="0"/>
    <pivotField showAll="0">
      <items count="5">
        <item x="0"/>
        <item x="3"/>
        <item x="1"/>
        <item x="2"/>
        <item t="default"/>
      </items>
    </pivotField>
    <pivotField showAll="0"/>
    <pivotField showAll="0"/>
    <pivotField dataField="1" showAll="0">
      <items count="501">
        <item x="324"/>
        <item x="150"/>
        <item x="411"/>
        <item x="251"/>
        <item x="142"/>
        <item x="378"/>
        <item x="358"/>
        <item x="151"/>
        <item x="416"/>
        <item x="66"/>
        <item x="140"/>
        <item x="421"/>
        <item x="248"/>
        <item x="212"/>
        <item x="223"/>
        <item x="309"/>
        <item x="420"/>
        <item x="198"/>
        <item x="87"/>
        <item x="227"/>
        <item x="446"/>
        <item x="173"/>
        <item x="202"/>
        <item x="147"/>
        <item x="409"/>
        <item x="73"/>
        <item x="165"/>
        <item x="277"/>
        <item x="127"/>
        <item x="63"/>
        <item x="193"/>
        <item x="301"/>
        <item x="104"/>
        <item x="368"/>
        <item x="274"/>
        <item x="303"/>
        <item x="310"/>
        <item x="349"/>
        <item x="229"/>
        <item x="328"/>
        <item x="399"/>
        <item x="57"/>
        <item x="7"/>
        <item x="19"/>
        <item x="24"/>
        <item x="327"/>
        <item x="107"/>
        <item x="252"/>
        <item x="191"/>
        <item x="351"/>
        <item x="98"/>
        <item x="14"/>
        <item x="466"/>
        <item x="62"/>
        <item x="336"/>
        <item x="383"/>
        <item x="338"/>
        <item x="367"/>
        <item x="307"/>
        <item x="221"/>
        <item x="354"/>
        <item x="293"/>
        <item x="153"/>
        <item x="49"/>
        <item x="348"/>
        <item x="4"/>
        <item x="432"/>
        <item x="329"/>
        <item x="352"/>
        <item x="380"/>
        <item x="302"/>
        <item x="130"/>
        <item x="304"/>
        <item x="361"/>
        <item x="311"/>
        <item x="366"/>
        <item x="269"/>
        <item x="137"/>
        <item x="268"/>
        <item x="245"/>
        <item x="102"/>
        <item x="244"/>
        <item x="92"/>
        <item x="272"/>
        <item x="276"/>
        <item x="182"/>
        <item x="353"/>
        <item x="481"/>
        <item x="83"/>
        <item x="360"/>
        <item x="457"/>
        <item x="28"/>
        <item x="444"/>
        <item x="22"/>
        <item x="414"/>
        <item x="220"/>
        <item x="171"/>
        <item x="344"/>
        <item x="321"/>
        <item x="184"/>
        <item x="306"/>
        <item x="128"/>
        <item x="194"/>
        <item x="136"/>
        <item x="40"/>
        <item x="233"/>
        <item x="474"/>
        <item x="32"/>
        <item x="0"/>
        <item x="475"/>
        <item x="121"/>
        <item x="371"/>
        <item x="402"/>
        <item x="263"/>
        <item x="364"/>
        <item x="160"/>
        <item x="461"/>
        <item x="96"/>
        <item x="241"/>
        <item x="492"/>
        <item x="346"/>
        <item x="192"/>
        <item x="362"/>
        <item x="436"/>
        <item x="408"/>
        <item x="356"/>
        <item x="273"/>
        <item x="25"/>
        <item x="195"/>
        <item x="188"/>
        <item x="431"/>
        <item x="404"/>
        <item x="299"/>
        <item x="71"/>
        <item x="264"/>
        <item x="172"/>
        <item x="170"/>
        <item x="16"/>
        <item x="225"/>
        <item x="186"/>
        <item x="154"/>
        <item x="495"/>
        <item x="485"/>
        <item x="313"/>
        <item x="333"/>
        <item x="206"/>
        <item x="373"/>
        <item x="391"/>
        <item x="480"/>
        <item x="452"/>
        <item x="472"/>
        <item x="45"/>
        <item x="486"/>
        <item x="82"/>
        <item x="497"/>
        <item x="476"/>
        <item x="177"/>
        <item x="406"/>
        <item x="477"/>
        <item x="189"/>
        <item x="496"/>
        <item x="473"/>
        <item x="200"/>
        <item x="176"/>
        <item x="297"/>
        <item x="393"/>
        <item x="115"/>
        <item x="471"/>
        <item x="334"/>
        <item x="441"/>
        <item x="419"/>
        <item x="204"/>
        <item x="201"/>
        <item x="365"/>
        <item x="103"/>
        <item x="6"/>
        <item x="20"/>
        <item x="64"/>
        <item x="407"/>
        <item x="357"/>
        <item x="257"/>
        <item x="460"/>
        <item x="322"/>
        <item x="317"/>
        <item x="398"/>
        <item x="253"/>
        <item x="91"/>
        <item x="143"/>
        <item x="190"/>
        <item x="423"/>
        <item x="395"/>
        <item x="397"/>
        <item x="197"/>
        <item x="9"/>
        <item x="27"/>
        <item x="314"/>
        <item x="417"/>
        <item x="394"/>
        <item x="437"/>
        <item x="207"/>
        <item x="401"/>
        <item x="312"/>
        <item x="270"/>
        <item x="168"/>
        <item x="93"/>
        <item x="85"/>
        <item x="5"/>
        <item x="463"/>
        <item x="183"/>
        <item x="53"/>
        <item x="144"/>
        <item x="355"/>
        <item x="284"/>
        <item x="232"/>
        <item x="58"/>
        <item x="462"/>
        <item x="384"/>
        <item x="131"/>
        <item x="246"/>
        <item x="370"/>
        <item x="141"/>
        <item x="289"/>
        <item x="256"/>
        <item x="426"/>
        <item x="134"/>
        <item x="148"/>
        <item x="438"/>
        <item x="145"/>
        <item x="247"/>
        <item x="433"/>
        <item x="339"/>
        <item x="376"/>
        <item x="484"/>
        <item x="99"/>
        <item x="205"/>
        <item x="124"/>
        <item x="381"/>
        <item x="18"/>
        <item x="61"/>
        <item x="2"/>
        <item x="196"/>
        <item x="12"/>
        <item x="418"/>
        <item x="218"/>
        <item x="489"/>
        <item x="342"/>
        <item x="388"/>
        <item x="282"/>
        <item x="129"/>
        <item x="300"/>
        <item x="11"/>
        <item x="456"/>
        <item x="275"/>
        <item x="281"/>
        <item x="167"/>
        <item x="237"/>
        <item x="8"/>
        <item x="152"/>
        <item x="222"/>
        <item x="429"/>
        <item x="287"/>
        <item x="46"/>
        <item x="43"/>
        <item x="493"/>
        <item x="213"/>
        <item x="325"/>
        <item x="443"/>
        <item x="34"/>
        <item x="108"/>
        <item x="216"/>
        <item x="491"/>
        <item x="69"/>
        <item x="363"/>
        <item x="278"/>
        <item x="479"/>
        <item x="132"/>
        <item x="214"/>
        <item x="442"/>
        <item x="341"/>
        <item x="413"/>
        <item x="10"/>
        <item x="410"/>
        <item x="323"/>
        <item x="243"/>
        <item x="65"/>
        <item x="159"/>
        <item x="162"/>
        <item x="15"/>
        <item x="174"/>
        <item x="112"/>
        <item x="86"/>
        <item x="39"/>
        <item x="180"/>
        <item x="118"/>
        <item x="286"/>
        <item x="448"/>
        <item x="340"/>
        <item x="166"/>
        <item x="31"/>
        <item x="41"/>
        <item x="447"/>
        <item x="178"/>
        <item x="135"/>
        <item x="181"/>
        <item x="255"/>
        <item x="55"/>
        <item x="235"/>
        <item x="81"/>
        <item x="483"/>
        <item x="26"/>
        <item x="382"/>
        <item x="359"/>
        <item x="345"/>
        <item x="36"/>
        <item x="114"/>
        <item x="210"/>
        <item x="88"/>
        <item x="105"/>
        <item x="38"/>
        <item x="30"/>
        <item x="424"/>
        <item x="238"/>
        <item x="454"/>
        <item x="80"/>
        <item x="259"/>
        <item x="1"/>
        <item x="405"/>
        <item x="169"/>
        <item x="242"/>
        <item x="50"/>
        <item x="332"/>
        <item x="122"/>
        <item x="428"/>
        <item x="79"/>
        <item x="385"/>
        <item x="29"/>
        <item x="292"/>
        <item x="326"/>
        <item x="101"/>
        <item x="422"/>
        <item x="70"/>
        <item x="59"/>
        <item x="372"/>
        <item x="271"/>
        <item x="17"/>
        <item x="347"/>
        <item x="458"/>
        <item x="155"/>
        <item x="488"/>
        <item x="449"/>
        <item x="308"/>
        <item x="76"/>
        <item x="374"/>
        <item x="320"/>
        <item x="478"/>
        <item x="47"/>
        <item x="430"/>
        <item x="250"/>
        <item x="52"/>
        <item x="330"/>
        <item x="249"/>
        <item x="74"/>
        <item x="400"/>
        <item x="439"/>
        <item x="337"/>
        <item x="106"/>
        <item x="494"/>
        <item x="120"/>
        <item x="369"/>
        <item x="175"/>
        <item x="203"/>
        <item x="316"/>
        <item x="445"/>
        <item x="240"/>
        <item x="459"/>
        <item x="482"/>
        <item x="294"/>
        <item x="390"/>
        <item x="412"/>
        <item x="209"/>
        <item x="403"/>
        <item x="285"/>
        <item x="78"/>
        <item x="67"/>
        <item x="111"/>
        <item x="138"/>
        <item x="435"/>
        <item x="90"/>
        <item x="146"/>
        <item x="296"/>
        <item x="392"/>
        <item x="440"/>
        <item x="126"/>
        <item x="386"/>
        <item x="265"/>
        <item x="72"/>
        <item x="305"/>
        <item x="60"/>
        <item x="33"/>
        <item x="231"/>
        <item x="13"/>
        <item x="51"/>
        <item x="283"/>
        <item x="425"/>
        <item x="468"/>
        <item x="290"/>
        <item x="427"/>
        <item x="48"/>
        <item x="266"/>
        <item x="123"/>
        <item x="254"/>
        <item x="77"/>
        <item x="258"/>
        <item x="56"/>
        <item x="389"/>
        <item x="434"/>
        <item x="298"/>
        <item x="260"/>
        <item x="377"/>
        <item x="375"/>
        <item x="185"/>
        <item x="54"/>
        <item x="236"/>
        <item x="161"/>
        <item x="230"/>
        <item x="109"/>
        <item x="215"/>
        <item x="279"/>
        <item x="315"/>
        <item x="451"/>
        <item x="319"/>
        <item x="164"/>
        <item x="156"/>
        <item x="149"/>
        <item x="44"/>
        <item x="455"/>
        <item x="157"/>
        <item x="23"/>
        <item x="163"/>
        <item x="3"/>
        <item x="219"/>
        <item x="94"/>
        <item x="75"/>
        <item x="37"/>
        <item x="116"/>
        <item x="387"/>
        <item x="470"/>
        <item x="318"/>
        <item x="89"/>
        <item x="261"/>
        <item x="179"/>
        <item x="487"/>
        <item x="239"/>
        <item x="21"/>
        <item x="450"/>
        <item x="68"/>
        <item x="199"/>
        <item x="343"/>
        <item x="117"/>
        <item x="133"/>
        <item x="453"/>
        <item x="335"/>
        <item x="469"/>
        <item x="291"/>
        <item x="95"/>
        <item x="187"/>
        <item x="267"/>
        <item x="226"/>
        <item x="396"/>
        <item x="110"/>
        <item x="100"/>
        <item x="465"/>
        <item x="288"/>
        <item x="262"/>
        <item x="490"/>
        <item x="97"/>
        <item x="158"/>
        <item x="139"/>
        <item x="499"/>
        <item x="228"/>
        <item x="113"/>
        <item x="379"/>
        <item x="42"/>
        <item x="224"/>
        <item x="467"/>
        <item x="498"/>
        <item x="234"/>
        <item x="119"/>
        <item x="35"/>
        <item x="217"/>
        <item x="331"/>
        <item x="295"/>
        <item x="415"/>
        <item x="211"/>
        <item x="350"/>
        <item x="208"/>
        <item x="464"/>
        <item x="84"/>
        <item x="125"/>
        <item x="280"/>
        <item t="default"/>
      </items>
    </pivotField>
    <pivotField showAll="0">
      <items count="5">
        <item x="3"/>
        <item x="0"/>
        <item x="1"/>
        <item x="2"/>
        <item t="default"/>
      </items>
    </pivotField>
    <pivotField showAll="0"/>
    <pivotField axis="axisRow" showAll="0">
      <items count="13">
        <item h="1" x="1"/>
        <item x="9"/>
        <item x="10"/>
        <item x="0"/>
        <item x="5"/>
        <item x="6"/>
        <item x="3"/>
        <item x="2"/>
        <item x="11"/>
        <item x="8"/>
        <item x="7"/>
        <item x="4"/>
        <item t="default"/>
      </items>
    </pivotField>
    <pivotField axis="axisRow" showAll="0">
      <items count="3">
        <item x="0"/>
        <item x="1"/>
        <item t="default"/>
      </items>
    </pivotField>
  </pivotFields>
  <rowFields count="2">
    <field x="11"/>
    <field x="10"/>
  </rowFields>
  <rowItems count="13">
    <i>
      <x/>
    </i>
    <i r="1">
      <x v="1"/>
    </i>
    <i r="1">
      <x v="2"/>
    </i>
    <i r="1">
      <x v="3"/>
    </i>
    <i r="1">
      <x v="4"/>
    </i>
    <i r="1">
      <x v="5"/>
    </i>
    <i r="1">
      <x v="6"/>
    </i>
    <i r="1">
      <x v="7"/>
    </i>
    <i r="1">
      <x v="8"/>
    </i>
    <i r="1">
      <x v="9"/>
    </i>
    <i r="1">
      <x v="10"/>
    </i>
    <i r="1">
      <x v="11"/>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85197-EBF7-4263-AA5E-0184A871860C}"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A73" firstHeaderRow="1" firstDataRow="1" firstDataCol="0"/>
  <pivotFields count="12">
    <pivotField dataField="1" showAll="0"/>
    <pivotField showAll="0"/>
    <pivotField showAll="0"/>
    <pivotField showAll="0"/>
    <pivotField showAll="0">
      <items count="5">
        <item x="0"/>
        <item x="3"/>
        <item x="1"/>
        <item x="2"/>
        <item t="default"/>
      </items>
    </pivotField>
    <pivotField showAll="0"/>
    <pivotField showAll="0"/>
    <pivotField showAll="0"/>
    <pivotField showAll="0">
      <items count="5">
        <item x="3"/>
        <item x="0"/>
        <item x="1"/>
        <item x="2"/>
        <item t="default"/>
      </items>
    </pivotField>
    <pivotField showAll="0"/>
    <pivotField showAll="0"/>
    <pivotField showAll="0">
      <items count="3">
        <item x="0"/>
        <item x="1"/>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3760B3-64F2-4CF4-8FCE-FC8FCF72CB69}"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2:B63" firstHeaderRow="1" firstDataRow="1" firstDataCol="1"/>
  <pivotFields count="12">
    <pivotField showAll="0"/>
    <pivotField showAll="0"/>
    <pivotField axis="axisRow" showAll="0" measureFilter="1" sortType="ascending">
      <items count="120">
        <item x="110"/>
        <item x="107"/>
        <item x="34"/>
        <item x="4"/>
        <item x="14"/>
        <item x="68"/>
        <item x="86"/>
        <item x="24"/>
        <item x="43"/>
        <item x="111"/>
        <item x="41"/>
        <item x="5"/>
        <item x="91"/>
        <item x="46"/>
        <item x="13"/>
        <item x="60"/>
        <item x="116"/>
        <item x="100"/>
        <item x="47"/>
        <item x="49"/>
        <item x="64"/>
        <item x="77"/>
        <item x="75"/>
        <item x="114"/>
        <item x="8"/>
        <item x="56"/>
        <item x="104"/>
        <item x="103"/>
        <item x="108"/>
        <item x="55"/>
        <item x="106"/>
        <item x="48"/>
        <item x="11"/>
        <item x="38"/>
        <item x="9"/>
        <item x="58"/>
        <item x="20"/>
        <item x="27"/>
        <item x="90"/>
        <item x="57"/>
        <item x="30"/>
        <item x="44"/>
        <item x="65"/>
        <item x="52"/>
        <item x="102"/>
        <item x="105"/>
        <item x="6"/>
        <item x="51"/>
        <item x="93"/>
        <item x="37"/>
        <item x="101"/>
        <item x="39"/>
        <item x="62"/>
        <item x="113"/>
        <item x="74"/>
        <item x="81"/>
        <item x="50"/>
        <item x="0"/>
        <item x="69"/>
        <item x="79"/>
        <item x="80"/>
        <item x="54"/>
        <item x="97"/>
        <item x="7"/>
        <item x="96"/>
        <item x="109"/>
        <item x="117"/>
        <item x="88"/>
        <item x="72"/>
        <item x="31"/>
        <item x="32"/>
        <item x="10"/>
        <item x="45"/>
        <item x="12"/>
        <item x="42"/>
        <item x="40"/>
        <item x="36"/>
        <item x="70"/>
        <item x="16"/>
        <item x="17"/>
        <item x="59"/>
        <item x="29"/>
        <item x="18"/>
        <item x="92"/>
        <item x="33"/>
        <item x="28"/>
        <item x="83"/>
        <item x="67"/>
        <item x="115"/>
        <item x="95"/>
        <item x="35"/>
        <item x="23"/>
        <item x="112"/>
        <item x="61"/>
        <item x="87"/>
        <item x="73"/>
        <item x="19"/>
        <item x="22"/>
        <item x="118"/>
        <item x="71"/>
        <item x="85"/>
        <item x="98"/>
        <item x="25"/>
        <item x="76"/>
        <item x="66"/>
        <item x="53"/>
        <item x="15"/>
        <item x="3"/>
        <item x="99"/>
        <item x="63"/>
        <item x="89"/>
        <item x="2"/>
        <item x="26"/>
        <item x="84"/>
        <item x="94"/>
        <item x="82"/>
        <item x="78"/>
        <item x="1"/>
        <item x="21"/>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pivotField showAll="0"/>
    <pivotField dataField="1" showAll="0"/>
    <pivotField showAll="0">
      <items count="5">
        <item x="3"/>
        <item x="0"/>
        <item x="1"/>
        <item x="2"/>
        <item t="default"/>
      </items>
    </pivotField>
    <pivotField showAll="0"/>
    <pivotField showAll="0"/>
    <pivotField showAll="0">
      <items count="3">
        <item x="0"/>
        <item x="1"/>
        <item t="default"/>
      </items>
    </pivotField>
  </pivotFields>
  <rowFields count="1">
    <field x="2"/>
  </rowFields>
  <rowItems count="11">
    <i>
      <x v="37"/>
    </i>
    <i>
      <x v="94"/>
    </i>
    <i>
      <x v="111"/>
    </i>
    <i>
      <x v="118"/>
    </i>
    <i>
      <x v="41"/>
    </i>
    <i>
      <x v="60"/>
    </i>
    <i>
      <x v="7"/>
    </i>
    <i>
      <x v="42"/>
    </i>
    <i>
      <x v="110"/>
    </i>
    <i>
      <x v="74"/>
    </i>
    <i t="grand">
      <x/>
    </i>
  </rowItems>
  <colItems count="1">
    <i/>
  </colItems>
  <dataFields count="1">
    <dataField name="Sum of Revenue"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4D8291-C508-4D95-887A-D190ECDBC7AF}"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0:B25" firstHeaderRow="1" firstDataRow="1" firstDataCol="1"/>
  <pivotFields count="12">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3"/>
        <item x="0"/>
        <item x="1"/>
        <item x="2"/>
        <item t="default"/>
      </items>
    </pivotField>
    <pivotField showAll="0"/>
    <pivotField showAll="0"/>
    <pivotField showAll="0">
      <items count="3">
        <item x="0"/>
        <item x="1"/>
        <item t="default"/>
      </items>
    </pivotField>
  </pivotFields>
  <rowFields count="1">
    <field x="4"/>
  </rowFields>
  <rowItems count="5">
    <i>
      <x v="1"/>
    </i>
    <i>
      <x v="2"/>
    </i>
    <i>
      <x/>
    </i>
    <i>
      <x v="3"/>
    </i>
    <i t="grand">
      <x/>
    </i>
  </rowItems>
  <colItems count="1">
    <i/>
  </colItems>
  <dataFields count="1">
    <dataField name="Sum of Revenue" fld="7"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157674-1014-4D1C-9C1E-0BD5691BCE8D}" name="PivotTable20"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 sales data generated by chatgtpt.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E679C9-A60D-4368-BCD8-E848E7C01CC3}" sourceName="Category">
  <pivotTables>
    <pivotTable tabId="4" name="PivotTable5"/>
    <pivotTable tabId="4" name="PivotTable1"/>
    <pivotTable tabId="4" name="PivotTable2"/>
    <pivotTable tabId="4" name="PivotTable4"/>
    <pivotTable tabId="4" name="PivotTable6"/>
    <pivotTable tabId="4" name="PivotTable7"/>
    <pivotTable tabId="4" name="PivotTable9"/>
  </pivotTables>
  <data>
    <tabular pivotCacheId="92130522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Year" xr10:uid="{41E7E646-FBC1-469F-971B-48E4ADDEBF41}" sourceName="Order Date(Year)">
  <pivotTables>
    <pivotTable tabId="4" name="PivotTable5"/>
    <pivotTable tabId="4" name="PivotTable1"/>
    <pivotTable tabId="4" name="PivotTable2"/>
    <pivotTable tabId="4" name="PivotTable4"/>
    <pivotTable tabId="4" name="PivotTable6"/>
    <pivotTable tabId="4" name="PivotTable7"/>
    <pivotTable tabId="4" name="PivotTable9"/>
  </pivotTables>
  <data>
    <tabular pivotCacheId="92130522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4B30B7-84E7-4C89-A88B-E8D8535881E4}" sourceName="Region">
  <pivotTables>
    <pivotTable tabId="4" name="PivotTable5"/>
    <pivotTable tabId="4" name="PivotTable1"/>
    <pivotTable tabId="4" name="PivotTable2"/>
    <pivotTable tabId="4" name="PivotTable4"/>
    <pivotTable tabId="4" name="PivotTable6"/>
    <pivotTable tabId="4" name="PivotTable7"/>
    <pivotTable tabId="4" name="PivotTable9"/>
  </pivotTables>
  <data>
    <tabular pivotCacheId="92130522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B9FCCA-1087-4B40-8633-553B8BA4C3C4}" cache="Slicer_Category" caption="Category" rowHeight="234950"/>
  <slicer name="Order Date(Year)" xr10:uid="{7E81BF81-6595-42B1-AAD1-E1571C11A61D}" cache="Slicer_Order_Date_Year" caption="Order Date(Year)" rowHeight="234950"/>
  <slicer name="Region" xr10:uid="{599C36E3-10F7-42F6-A854-457A6ADCB9E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7C3C85-F1F7-40E9-B74E-F95FE852D183}" cache="Slicer_Category" caption="Category" style="SlicerStyleOther2" rowHeight="234950"/>
  <slicer name="Order Date(Year) 1" xr10:uid="{C5E95BC4-1D04-4DDB-9D86-A67B79D7306B}" cache="Slicer_Order_Date_Year" caption="Order Date(Year)" style="SlicerStyleOther2" rowHeight="234950"/>
  <slicer name="Region 1" xr10:uid="{6CF68EF3-5950-49FF-B9AB-E6B296C05BDE}" cache="Slicer_Region" caption="Reg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BE6AD-9C6C-4572-8C2C-B77CF0350A13}" name="Sales_Data" displayName="Sales_Data" ref="A1:L501" totalsRowShown="0">
  <autoFilter ref="A1:L501" xr:uid="{C4ABE6AD-9C6C-4572-8C2C-B77CF0350A13}"/>
  <tableColumns count="12">
    <tableColumn id="1" xr3:uid="{34D628FC-4EC3-417A-B810-4285FD90558E}" name="Order ID"/>
    <tableColumn id="2" xr3:uid="{FBCB0075-2A91-4232-9E0A-39672D15B7B2}" name="Order Date" dataDxfId="4"/>
    <tableColumn id="3" xr3:uid="{C1553F34-BA31-4D2F-BCA2-11C6EF02DDF1}" name="Customer ID"/>
    <tableColumn id="4" xr3:uid="{EF3E1C89-126C-46F9-80DB-3984236B5678}" name="Product"/>
    <tableColumn id="5" xr3:uid="{7370CE94-2F46-4451-A55B-7C9818099C8D}" name="Category"/>
    <tableColumn id="6" xr3:uid="{20315342-6EC8-46D1-8E72-8114EC7FEC1B}" name="Quantity"/>
    <tableColumn id="7" xr3:uid="{A31E6FD5-5BCD-4978-A79C-8CE081053185}" name="Price"/>
    <tableColumn id="8" xr3:uid="{803E09AC-2D71-4257-A77C-A7F8626AEE41}" name="Revenue"/>
    <tableColumn id="9" xr3:uid="{990BB28A-EAD7-487A-9537-2A9A6384DFA2}" name="Region"/>
    <tableColumn id="10" xr3:uid="{5B663B60-4949-4AA7-964C-E6A13B481C6E}" name="Revenue2" dataDxfId="3">
      <calculatedColumnFormula xml:space="preserve"> Sales_Data[[#This Row],[Quantity]] * Sales_Data[[#This Row],[Price]]</calculatedColumnFormula>
    </tableColumn>
    <tableColumn id="11" xr3:uid="{15D73771-AF1B-4166-BFCD-851320B9C2EE}" name="Order Date (Month)" dataDxfId="2">
      <calculatedColumnFormula>TEXT(Sales_Data[[#This Row],[Order Date]],"MMM")</calculatedColumnFormula>
    </tableColumn>
    <tableColumn id="12" xr3:uid="{CCDC4736-0958-457B-B423-DE24DE9355DC}" name="Order Date(Year)" dataDxfId="1">
      <calculatedColumnFormula>YEAR(Sales_Data[[#This Row],[Order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977DBE-4054-4C89-AA47-76513AFBD5C6}" name="Table2" displayName="Table2" ref="A2:B7" totalsRowShown="0">
  <autoFilter ref="A2:B7" xr:uid="{E0977DBE-4054-4C89-AA47-76513AFBD5C6}"/>
  <tableColumns count="2">
    <tableColumn id="1" xr3:uid="{2B98E83D-F4F3-4A89-8099-05A5D8C4E3F9}" name="Metric" dataDxfId="0"/>
    <tableColumn id="2" xr3:uid="{AD1781E7-5291-4639-8F4A-3C098B8AEB25}" name="Numbe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L17" sqref="L17"/>
    </sheetView>
  </sheetViews>
  <sheetFormatPr defaultRowHeight="14.4"/>
  <sheetData>
    <row r="1" spans="1:9">
      <c r="A1" t="s">
        <v>0</v>
      </c>
      <c r="B1" t="s">
        <v>1</v>
      </c>
      <c r="C1" t="s">
        <v>2</v>
      </c>
      <c r="D1" t="s">
        <v>3</v>
      </c>
      <c r="E1" t="s">
        <v>4</v>
      </c>
      <c r="F1" t="s">
        <v>5</v>
      </c>
      <c r="G1" t="s">
        <v>6</v>
      </c>
      <c r="H1" t="s">
        <v>7</v>
      </c>
      <c r="I1" t="s">
        <v>8</v>
      </c>
    </row>
    <row r="2" spans="1:9">
      <c r="A2" t="s">
        <v>9</v>
      </c>
      <c r="B2" t="s">
        <v>10</v>
      </c>
      <c r="C2" t="s">
        <v>11</v>
      </c>
      <c r="D2" t="s">
        <v>12</v>
      </c>
      <c r="E2" t="s">
        <v>13</v>
      </c>
      <c r="F2">
        <v>1</v>
      </c>
      <c r="G2">
        <v>1205.7</v>
      </c>
      <c r="H2">
        <v>1205.7</v>
      </c>
      <c r="I2" t="s">
        <v>14</v>
      </c>
    </row>
    <row r="3" spans="1:9">
      <c r="A3" t="s">
        <v>15</v>
      </c>
      <c r="B3" t="s">
        <v>16</v>
      </c>
      <c r="C3" t="s">
        <v>17</v>
      </c>
      <c r="D3" t="s">
        <v>18</v>
      </c>
      <c r="E3" t="s">
        <v>19</v>
      </c>
      <c r="F3">
        <v>3</v>
      </c>
      <c r="G3">
        <v>1274.03</v>
      </c>
      <c r="H3">
        <v>3822.09</v>
      </c>
      <c r="I3" t="s">
        <v>14</v>
      </c>
    </row>
    <row r="4" spans="1:9">
      <c r="A4" t="s">
        <v>20</v>
      </c>
      <c r="B4" t="s">
        <v>21</v>
      </c>
      <c r="C4" t="s">
        <v>22</v>
      </c>
      <c r="D4" t="s">
        <v>12</v>
      </c>
      <c r="E4" t="s">
        <v>13</v>
      </c>
      <c r="F4">
        <v>2</v>
      </c>
      <c r="G4">
        <v>1220.55</v>
      </c>
      <c r="H4">
        <v>2441.1</v>
      </c>
      <c r="I4" t="s">
        <v>23</v>
      </c>
    </row>
    <row r="5" spans="1:9">
      <c r="A5" t="s">
        <v>24</v>
      </c>
      <c r="B5" t="s">
        <v>25</v>
      </c>
      <c r="C5" t="s">
        <v>26</v>
      </c>
      <c r="D5" t="s">
        <v>18</v>
      </c>
      <c r="E5" t="s">
        <v>19</v>
      </c>
      <c r="F5">
        <v>4</v>
      </c>
      <c r="G5">
        <v>1503.38</v>
      </c>
      <c r="H5">
        <v>6013.52</v>
      </c>
      <c r="I5" t="s">
        <v>14</v>
      </c>
    </row>
    <row r="6" spans="1:9">
      <c r="A6" t="s">
        <v>27</v>
      </c>
      <c r="B6" t="s">
        <v>28</v>
      </c>
      <c r="C6" t="s">
        <v>29</v>
      </c>
      <c r="D6" t="s">
        <v>30</v>
      </c>
      <c r="E6" t="s">
        <v>19</v>
      </c>
      <c r="F6">
        <v>3</v>
      </c>
      <c r="G6">
        <v>255.7</v>
      </c>
      <c r="H6">
        <v>767.1</v>
      </c>
      <c r="I6" t="s">
        <v>31</v>
      </c>
    </row>
    <row r="7" spans="1:9">
      <c r="A7" t="s">
        <v>32</v>
      </c>
      <c r="B7" t="s">
        <v>33</v>
      </c>
      <c r="C7" t="s">
        <v>34</v>
      </c>
      <c r="D7" t="s">
        <v>35</v>
      </c>
      <c r="E7" t="s">
        <v>13</v>
      </c>
      <c r="F7">
        <v>1</v>
      </c>
      <c r="G7">
        <v>1996.53</v>
      </c>
      <c r="H7">
        <v>1996.53</v>
      </c>
      <c r="I7" t="s">
        <v>23</v>
      </c>
    </row>
    <row r="8" spans="1:9">
      <c r="A8" t="s">
        <v>36</v>
      </c>
      <c r="B8" t="s">
        <v>37</v>
      </c>
      <c r="C8" t="s">
        <v>38</v>
      </c>
      <c r="D8" t="s">
        <v>39</v>
      </c>
      <c r="E8" t="s">
        <v>40</v>
      </c>
      <c r="F8">
        <v>3</v>
      </c>
      <c r="G8">
        <v>577.59</v>
      </c>
      <c r="H8">
        <v>1732.77</v>
      </c>
      <c r="I8" t="s">
        <v>31</v>
      </c>
    </row>
    <row r="9" spans="1:9">
      <c r="A9" t="s">
        <v>41</v>
      </c>
      <c r="B9" t="s">
        <v>42</v>
      </c>
      <c r="C9" t="s">
        <v>43</v>
      </c>
      <c r="D9" t="s">
        <v>18</v>
      </c>
      <c r="E9" t="s">
        <v>19</v>
      </c>
      <c r="F9">
        <v>5</v>
      </c>
      <c r="G9">
        <v>115.58</v>
      </c>
      <c r="H9">
        <v>577.9</v>
      </c>
      <c r="I9" t="s">
        <v>31</v>
      </c>
    </row>
    <row r="10" spans="1:9">
      <c r="A10" t="s">
        <v>44</v>
      </c>
      <c r="B10" t="s">
        <v>45</v>
      </c>
      <c r="C10" t="s">
        <v>46</v>
      </c>
      <c r="D10" t="s">
        <v>35</v>
      </c>
      <c r="E10" t="s">
        <v>13</v>
      </c>
      <c r="F10">
        <v>3</v>
      </c>
      <c r="G10">
        <v>958.51</v>
      </c>
      <c r="H10">
        <v>2875.53</v>
      </c>
      <c r="I10" t="s">
        <v>47</v>
      </c>
    </row>
    <row r="11" spans="1:9">
      <c r="A11" t="s">
        <v>48</v>
      </c>
      <c r="B11" t="s">
        <v>49</v>
      </c>
      <c r="C11" t="s">
        <v>50</v>
      </c>
      <c r="D11" t="s">
        <v>51</v>
      </c>
      <c r="E11" t="s">
        <v>52</v>
      </c>
      <c r="F11">
        <v>2</v>
      </c>
      <c r="G11">
        <v>946.76</v>
      </c>
      <c r="H11">
        <v>1893.52</v>
      </c>
      <c r="I11" t="s">
        <v>47</v>
      </c>
    </row>
    <row r="12" spans="1:9">
      <c r="A12" t="s">
        <v>53</v>
      </c>
      <c r="B12" t="s">
        <v>54</v>
      </c>
      <c r="C12" t="s">
        <v>55</v>
      </c>
      <c r="D12" t="s">
        <v>51</v>
      </c>
      <c r="E12" t="s">
        <v>52</v>
      </c>
      <c r="F12">
        <v>3</v>
      </c>
      <c r="G12">
        <v>1052.33</v>
      </c>
      <c r="H12">
        <v>3156.99</v>
      </c>
      <c r="I12" t="s">
        <v>31</v>
      </c>
    </row>
    <row r="13" spans="1:9">
      <c r="A13" t="s">
        <v>56</v>
      </c>
      <c r="B13" t="s">
        <v>57</v>
      </c>
      <c r="C13" t="s">
        <v>58</v>
      </c>
      <c r="D13" t="s">
        <v>59</v>
      </c>
      <c r="E13" t="s">
        <v>40</v>
      </c>
      <c r="F13">
        <v>2</v>
      </c>
      <c r="G13">
        <v>1384.57</v>
      </c>
      <c r="H13">
        <v>2769.14</v>
      </c>
      <c r="I13" t="s">
        <v>14</v>
      </c>
    </row>
    <row r="14" spans="1:9">
      <c r="A14" t="s">
        <v>60</v>
      </c>
      <c r="B14" t="s">
        <v>61</v>
      </c>
      <c r="C14" t="s">
        <v>62</v>
      </c>
      <c r="D14" t="s">
        <v>51</v>
      </c>
      <c r="E14" t="s">
        <v>52</v>
      </c>
      <c r="F14">
        <v>5</v>
      </c>
      <c r="G14">
        <v>499.22</v>
      </c>
      <c r="H14">
        <v>2496.1</v>
      </c>
      <c r="I14" t="s">
        <v>47</v>
      </c>
    </row>
    <row r="15" spans="1:9">
      <c r="A15" t="s">
        <v>63</v>
      </c>
      <c r="B15" t="s">
        <v>64</v>
      </c>
      <c r="C15" t="s">
        <v>65</v>
      </c>
      <c r="D15" t="s">
        <v>59</v>
      </c>
      <c r="E15" t="s">
        <v>40</v>
      </c>
      <c r="F15">
        <v>3</v>
      </c>
      <c r="G15">
        <v>1668.43</v>
      </c>
      <c r="H15">
        <v>5005.29</v>
      </c>
      <c r="I15" t="s">
        <v>31</v>
      </c>
    </row>
    <row r="16" spans="1:9">
      <c r="A16" t="s">
        <v>66</v>
      </c>
      <c r="B16" t="s">
        <v>67</v>
      </c>
      <c r="C16" t="s">
        <v>68</v>
      </c>
      <c r="D16" t="s">
        <v>12</v>
      </c>
      <c r="E16" t="s">
        <v>13</v>
      </c>
      <c r="F16">
        <v>1</v>
      </c>
      <c r="G16">
        <v>619.61</v>
      </c>
      <c r="H16">
        <v>619.61</v>
      </c>
      <c r="I16" t="s">
        <v>23</v>
      </c>
    </row>
    <row r="17" spans="1:9">
      <c r="A17" t="s">
        <v>69</v>
      </c>
      <c r="B17" t="s">
        <v>61</v>
      </c>
      <c r="C17" t="s">
        <v>70</v>
      </c>
      <c r="D17" t="s">
        <v>39</v>
      </c>
      <c r="E17" t="s">
        <v>40</v>
      </c>
      <c r="F17">
        <v>3</v>
      </c>
      <c r="G17">
        <v>1079.76</v>
      </c>
      <c r="H17">
        <v>3239.28</v>
      </c>
      <c r="I17" t="s">
        <v>23</v>
      </c>
    </row>
    <row r="18" spans="1:9">
      <c r="A18" t="s">
        <v>71</v>
      </c>
      <c r="B18" t="s">
        <v>72</v>
      </c>
      <c r="C18" t="s">
        <v>73</v>
      </c>
      <c r="D18" t="s">
        <v>30</v>
      </c>
      <c r="E18" t="s">
        <v>19</v>
      </c>
      <c r="F18">
        <v>5</v>
      </c>
      <c r="G18">
        <v>290.12</v>
      </c>
      <c r="H18">
        <v>1450.6</v>
      </c>
      <c r="I18" t="s">
        <v>14</v>
      </c>
    </row>
    <row r="19" spans="1:9">
      <c r="A19" t="s">
        <v>74</v>
      </c>
      <c r="B19" t="s">
        <v>75</v>
      </c>
      <c r="C19" t="s">
        <v>58</v>
      </c>
      <c r="D19" t="s">
        <v>39</v>
      </c>
      <c r="E19" t="s">
        <v>40</v>
      </c>
      <c r="F19">
        <v>5</v>
      </c>
      <c r="G19">
        <v>803.79</v>
      </c>
      <c r="H19">
        <v>4018.95</v>
      </c>
      <c r="I19" t="s">
        <v>31</v>
      </c>
    </row>
    <row r="20" spans="1:9">
      <c r="A20" t="s">
        <v>76</v>
      </c>
      <c r="B20" t="s">
        <v>77</v>
      </c>
      <c r="C20" t="s">
        <v>78</v>
      </c>
      <c r="D20" t="s">
        <v>79</v>
      </c>
      <c r="E20" t="s">
        <v>52</v>
      </c>
      <c r="F20">
        <v>2</v>
      </c>
      <c r="G20">
        <v>1215.4000000000001</v>
      </c>
      <c r="H20">
        <v>2430.8000000000002</v>
      </c>
      <c r="I20" t="s">
        <v>31</v>
      </c>
    </row>
    <row r="21" spans="1:9">
      <c r="A21" t="s">
        <v>80</v>
      </c>
      <c r="B21" t="s">
        <v>81</v>
      </c>
      <c r="C21" t="s">
        <v>82</v>
      </c>
      <c r="D21" t="s">
        <v>51</v>
      </c>
      <c r="E21" t="s">
        <v>52</v>
      </c>
      <c r="F21">
        <v>2</v>
      </c>
      <c r="G21">
        <v>294.24</v>
      </c>
      <c r="H21">
        <v>588.48</v>
      </c>
      <c r="I21" t="s">
        <v>31</v>
      </c>
    </row>
    <row r="22" spans="1:9">
      <c r="A22" t="s">
        <v>83</v>
      </c>
      <c r="B22" t="s">
        <v>84</v>
      </c>
      <c r="C22" t="s">
        <v>43</v>
      </c>
      <c r="D22" t="s">
        <v>35</v>
      </c>
      <c r="E22" t="s">
        <v>13</v>
      </c>
      <c r="F22">
        <v>1</v>
      </c>
      <c r="G22">
        <v>1744.8</v>
      </c>
      <c r="H22">
        <v>1744.8</v>
      </c>
      <c r="I22" t="s">
        <v>23</v>
      </c>
    </row>
    <row r="23" spans="1:9">
      <c r="A23" t="s">
        <v>85</v>
      </c>
      <c r="B23" t="s">
        <v>86</v>
      </c>
      <c r="C23" t="s">
        <v>87</v>
      </c>
      <c r="D23" t="s">
        <v>39</v>
      </c>
      <c r="E23" t="s">
        <v>40</v>
      </c>
      <c r="F23">
        <v>5</v>
      </c>
      <c r="G23">
        <v>1308.72</v>
      </c>
      <c r="H23">
        <v>6543.6</v>
      </c>
      <c r="I23" t="s">
        <v>47</v>
      </c>
    </row>
    <row r="24" spans="1:9">
      <c r="A24" t="s">
        <v>88</v>
      </c>
      <c r="B24" t="s">
        <v>89</v>
      </c>
      <c r="C24" t="s">
        <v>90</v>
      </c>
      <c r="D24" t="s">
        <v>18</v>
      </c>
      <c r="E24" t="s">
        <v>19</v>
      </c>
      <c r="F24">
        <v>1</v>
      </c>
      <c r="G24">
        <v>1093.72</v>
      </c>
      <c r="H24">
        <v>1093.72</v>
      </c>
      <c r="I24" t="s">
        <v>31</v>
      </c>
    </row>
    <row r="25" spans="1:9">
      <c r="A25" t="s">
        <v>91</v>
      </c>
      <c r="B25" t="s">
        <v>92</v>
      </c>
      <c r="C25" t="s">
        <v>93</v>
      </c>
      <c r="D25" t="s">
        <v>79</v>
      </c>
      <c r="E25" t="s">
        <v>52</v>
      </c>
      <c r="F25">
        <v>4</v>
      </c>
      <c r="G25">
        <v>1483.1</v>
      </c>
      <c r="H25">
        <v>5932.4</v>
      </c>
      <c r="I25" t="s">
        <v>23</v>
      </c>
    </row>
    <row r="26" spans="1:9">
      <c r="A26" t="s">
        <v>94</v>
      </c>
      <c r="B26" t="s">
        <v>95</v>
      </c>
      <c r="C26" t="s">
        <v>96</v>
      </c>
      <c r="D26" t="s">
        <v>12</v>
      </c>
      <c r="E26" t="s">
        <v>13</v>
      </c>
      <c r="F26">
        <v>2</v>
      </c>
      <c r="G26">
        <v>295.07</v>
      </c>
      <c r="H26">
        <v>590.14</v>
      </c>
      <c r="I26" t="s">
        <v>31</v>
      </c>
    </row>
    <row r="27" spans="1:9">
      <c r="A27" t="s">
        <v>97</v>
      </c>
      <c r="B27" t="s">
        <v>98</v>
      </c>
      <c r="C27" t="s">
        <v>99</v>
      </c>
      <c r="D27" t="s">
        <v>12</v>
      </c>
      <c r="E27" t="s">
        <v>13</v>
      </c>
      <c r="F27">
        <v>1</v>
      </c>
      <c r="G27">
        <v>1337.17</v>
      </c>
      <c r="H27">
        <v>1337.17</v>
      </c>
      <c r="I27" t="s">
        <v>14</v>
      </c>
    </row>
    <row r="28" spans="1:9">
      <c r="A28" t="s">
        <v>100</v>
      </c>
      <c r="B28" t="s">
        <v>101</v>
      </c>
      <c r="C28" t="s">
        <v>102</v>
      </c>
      <c r="D28" t="s">
        <v>30</v>
      </c>
      <c r="E28" t="s">
        <v>19</v>
      </c>
      <c r="F28">
        <v>3</v>
      </c>
      <c r="G28">
        <v>1201.3599999999999</v>
      </c>
      <c r="H28">
        <v>3604.08</v>
      </c>
      <c r="I28" t="s">
        <v>31</v>
      </c>
    </row>
    <row r="29" spans="1:9">
      <c r="A29" t="s">
        <v>103</v>
      </c>
      <c r="B29" t="s">
        <v>104</v>
      </c>
      <c r="C29" t="s">
        <v>105</v>
      </c>
      <c r="D29" t="s">
        <v>51</v>
      </c>
      <c r="E29" t="s">
        <v>52</v>
      </c>
      <c r="F29">
        <v>2</v>
      </c>
      <c r="G29">
        <v>950.83</v>
      </c>
      <c r="H29">
        <v>1901.66</v>
      </c>
      <c r="I29" t="s">
        <v>47</v>
      </c>
    </row>
    <row r="30" spans="1:9">
      <c r="A30" t="s">
        <v>106</v>
      </c>
      <c r="B30" t="s">
        <v>107</v>
      </c>
      <c r="C30" t="s">
        <v>29</v>
      </c>
      <c r="D30" t="s">
        <v>18</v>
      </c>
      <c r="E30" t="s">
        <v>19</v>
      </c>
      <c r="F30">
        <v>2</v>
      </c>
      <c r="G30">
        <v>537.55999999999995</v>
      </c>
      <c r="H30">
        <v>1075.1199999999999</v>
      </c>
      <c r="I30" t="s">
        <v>47</v>
      </c>
    </row>
    <row r="31" spans="1:9">
      <c r="A31" t="s">
        <v>108</v>
      </c>
      <c r="B31" t="s">
        <v>109</v>
      </c>
      <c r="C31" t="s">
        <v>58</v>
      </c>
      <c r="D31" t="s">
        <v>110</v>
      </c>
      <c r="E31" t="s">
        <v>52</v>
      </c>
      <c r="F31">
        <v>4</v>
      </c>
      <c r="G31">
        <v>975.51</v>
      </c>
      <c r="H31">
        <v>3902.04</v>
      </c>
      <c r="I31" t="s">
        <v>14</v>
      </c>
    </row>
    <row r="32" spans="1:9">
      <c r="A32" t="s">
        <v>111</v>
      </c>
      <c r="B32" t="s">
        <v>112</v>
      </c>
      <c r="C32" t="s">
        <v>113</v>
      </c>
      <c r="D32" t="s">
        <v>51</v>
      </c>
      <c r="E32" t="s">
        <v>52</v>
      </c>
      <c r="F32">
        <v>2</v>
      </c>
      <c r="G32">
        <v>1860.38</v>
      </c>
      <c r="H32">
        <v>3720.76</v>
      </c>
      <c r="I32" t="s">
        <v>31</v>
      </c>
    </row>
    <row r="33" spans="1:9">
      <c r="A33" t="s">
        <v>114</v>
      </c>
      <c r="B33" t="s">
        <v>115</v>
      </c>
      <c r="C33" t="s">
        <v>26</v>
      </c>
      <c r="D33" t="s">
        <v>30</v>
      </c>
      <c r="E33" t="s">
        <v>19</v>
      </c>
      <c r="F33">
        <v>2</v>
      </c>
      <c r="G33">
        <v>1698.74</v>
      </c>
      <c r="H33">
        <v>3397.48</v>
      </c>
      <c r="I33" t="s">
        <v>14</v>
      </c>
    </row>
    <row r="34" spans="1:9">
      <c r="A34" t="s">
        <v>116</v>
      </c>
      <c r="B34" t="s">
        <v>117</v>
      </c>
      <c r="C34" t="s">
        <v>118</v>
      </c>
      <c r="D34" t="s">
        <v>35</v>
      </c>
      <c r="E34" t="s">
        <v>13</v>
      </c>
      <c r="F34">
        <v>3</v>
      </c>
      <c r="G34">
        <v>401.05</v>
      </c>
      <c r="H34">
        <v>1203.1500000000001</v>
      </c>
      <c r="I34" t="s">
        <v>23</v>
      </c>
    </row>
    <row r="35" spans="1:9">
      <c r="A35" t="s">
        <v>119</v>
      </c>
      <c r="B35" t="s">
        <v>120</v>
      </c>
      <c r="C35" t="s">
        <v>121</v>
      </c>
      <c r="D35" t="s">
        <v>79</v>
      </c>
      <c r="E35" t="s">
        <v>52</v>
      </c>
      <c r="F35">
        <v>4</v>
      </c>
      <c r="G35">
        <v>1235.73</v>
      </c>
      <c r="H35">
        <v>4942.92</v>
      </c>
      <c r="I35" t="s">
        <v>23</v>
      </c>
    </row>
    <row r="36" spans="1:9">
      <c r="A36" t="s">
        <v>122</v>
      </c>
      <c r="B36" t="s">
        <v>123</v>
      </c>
      <c r="C36" t="s">
        <v>124</v>
      </c>
      <c r="D36" t="s">
        <v>35</v>
      </c>
      <c r="E36" t="s">
        <v>13</v>
      </c>
      <c r="F36">
        <v>2</v>
      </c>
      <c r="G36">
        <v>1504.41</v>
      </c>
      <c r="H36">
        <v>3008.82</v>
      </c>
      <c r="I36" t="s">
        <v>14</v>
      </c>
    </row>
    <row r="37" spans="1:9">
      <c r="A37" t="s">
        <v>125</v>
      </c>
      <c r="B37" t="s">
        <v>126</v>
      </c>
      <c r="C37" t="s">
        <v>127</v>
      </c>
      <c r="D37" t="s">
        <v>110</v>
      </c>
      <c r="E37" t="s">
        <v>52</v>
      </c>
      <c r="F37">
        <v>5</v>
      </c>
      <c r="G37">
        <v>1767.06</v>
      </c>
      <c r="H37">
        <v>8835.2999999999993</v>
      </c>
      <c r="I37" t="s">
        <v>23</v>
      </c>
    </row>
    <row r="38" spans="1:9">
      <c r="A38" t="s">
        <v>128</v>
      </c>
      <c r="B38" t="s">
        <v>129</v>
      </c>
      <c r="C38" t="s">
        <v>130</v>
      </c>
      <c r="D38" t="s">
        <v>79</v>
      </c>
      <c r="E38" t="s">
        <v>52</v>
      </c>
      <c r="F38">
        <v>2</v>
      </c>
      <c r="G38">
        <v>1833.2</v>
      </c>
      <c r="H38">
        <v>3666.4</v>
      </c>
      <c r="I38" t="s">
        <v>31</v>
      </c>
    </row>
    <row r="39" spans="1:9">
      <c r="A39" t="s">
        <v>131</v>
      </c>
      <c r="B39" t="s">
        <v>132</v>
      </c>
      <c r="C39" t="s">
        <v>87</v>
      </c>
      <c r="D39" t="s">
        <v>79</v>
      </c>
      <c r="E39" t="s">
        <v>52</v>
      </c>
      <c r="F39">
        <v>4</v>
      </c>
      <c r="G39">
        <v>1539.84</v>
      </c>
      <c r="H39">
        <v>6159.36</v>
      </c>
      <c r="I39" t="s">
        <v>23</v>
      </c>
    </row>
    <row r="40" spans="1:9">
      <c r="A40" t="s">
        <v>133</v>
      </c>
      <c r="B40" t="s">
        <v>134</v>
      </c>
      <c r="C40" t="s">
        <v>135</v>
      </c>
      <c r="D40" t="s">
        <v>18</v>
      </c>
      <c r="E40" t="s">
        <v>19</v>
      </c>
      <c r="F40">
        <v>4</v>
      </c>
      <c r="G40">
        <v>928.66</v>
      </c>
      <c r="H40">
        <v>3714.64</v>
      </c>
      <c r="I40" t="s">
        <v>14</v>
      </c>
    </row>
    <row r="41" spans="1:9">
      <c r="A41" t="s">
        <v>136</v>
      </c>
      <c r="B41" t="s">
        <v>137</v>
      </c>
      <c r="C41" t="s">
        <v>22</v>
      </c>
      <c r="D41" t="s">
        <v>18</v>
      </c>
      <c r="E41" t="s">
        <v>19</v>
      </c>
      <c r="F41">
        <v>3</v>
      </c>
      <c r="G41">
        <v>1093.0899999999999</v>
      </c>
      <c r="H41">
        <v>3279.27</v>
      </c>
      <c r="I41" t="s">
        <v>31</v>
      </c>
    </row>
    <row r="42" spans="1:9">
      <c r="A42" t="s">
        <v>138</v>
      </c>
      <c r="B42" t="s">
        <v>139</v>
      </c>
      <c r="C42" t="s">
        <v>140</v>
      </c>
      <c r="D42" t="s">
        <v>51</v>
      </c>
      <c r="E42" t="s">
        <v>52</v>
      </c>
      <c r="F42">
        <v>1</v>
      </c>
      <c r="G42">
        <v>1185.8499999999999</v>
      </c>
      <c r="H42">
        <v>1185.8499999999999</v>
      </c>
      <c r="I42" t="s">
        <v>14</v>
      </c>
    </row>
    <row r="43" spans="1:9">
      <c r="A43" t="s">
        <v>141</v>
      </c>
      <c r="B43" t="s">
        <v>142</v>
      </c>
      <c r="C43" t="s">
        <v>143</v>
      </c>
      <c r="D43" t="s">
        <v>79</v>
      </c>
      <c r="E43" t="s">
        <v>52</v>
      </c>
      <c r="F43">
        <v>5</v>
      </c>
      <c r="G43">
        <v>679.82</v>
      </c>
      <c r="H43">
        <v>3399.1</v>
      </c>
      <c r="I43" t="s">
        <v>23</v>
      </c>
    </row>
    <row r="44" spans="1:9">
      <c r="A44" t="s">
        <v>144</v>
      </c>
      <c r="B44" t="s">
        <v>145</v>
      </c>
      <c r="C44" t="s">
        <v>146</v>
      </c>
      <c r="D44" t="s">
        <v>79</v>
      </c>
      <c r="E44" t="s">
        <v>52</v>
      </c>
      <c r="F44">
        <v>5</v>
      </c>
      <c r="G44">
        <v>1623.69</v>
      </c>
      <c r="H44">
        <v>8118.45</v>
      </c>
      <c r="I44" t="s">
        <v>31</v>
      </c>
    </row>
    <row r="45" spans="1:9">
      <c r="A45" t="s">
        <v>147</v>
      </c>
      <c r="B45" t="s">
        <v>148</v>
      </c>
      <c r="C45" t="s">
        <v>29</v>
      </c>
      <c r="D45" t="s">
        <v>12</v>
      </c>
      <c r="E45" t="s">
        <v>13</v>
      </c>
      <c r="F45">
        <v>4</v>
      </c>
      <c r="G45">
        <v>734.79</v>
      </c>
      <c r="H45">
        <v>2939.16</v>
      </c>
      <c r="I45" t="s">
        <v>14</v>
      </c>
    </row>
    <row r="46" spans="1:9">
      <c r="A46" t="s">
        <v>149</v>
      </c>
      <c r="B46" t="s">
        <v>150</v>
      </c>
      <c r="C46" t="s">
        <v>38</v>
      </c>
      <c r="D46" t="s">
        <v>18</v>
      </c>
      <c r="E46" t="s">
        <v>19</v>
      </c>
      <c r="F46">
        <v>3</v>
      </c>
      <c r="G46">
        <v>1952.14</v>
      </c>
      <c r="H46">
        <v>5856.42</v>
      </c>
      <c r="I46" t="s">
        <v>31</v>
      </c>
    </row>
    <row r="47" spans="1:9">
      <c r="A47" t="s">
        <v>151</v>
      </c>
      <c r="B47" t="s">
        <v>152</v>
      </c>
      <c r="C47" t="s">
        <v>153</v>
      </c>
      <c r="D47" t="s">
        <v>12</v>
      </c>
      <c r="E47" t="s">
        <v>13</v>
      </c>
      <c r="F47">
        <v>3</v>
      </c>
      <c r="G47">
        <v>519.64</v>
      </c>
      <c r="H47">
        <v>1558.92</v>
      </c>
      <c r="I47" t="s">
        <v>47</v>
      </c>
    </row>
    <row r="48" spans="1:9">
      <c r="A48" t="s">
        <v>154</v>
      </c>
      <c r="B48" t="s">
        <v>155</v>
      </c>
      <c r="C48" t="s">
        <v>156</v>
      </c>
      <c r="D48" t="s">
        <v>30</v>
      </c>
      <c r="E48" t="s">
        <v>19</v>
      </c>
      <c r="F48">
        <v>2</v>
      </c>
      <c r="G48">
        <v>1469.45</v>
      </c>
      <c r="H48">
        <v>2938.9</v>
      </c>
      <c r="I48" t="s">
        <v>23</v>
      </c>
    </row>
    <row r="49" spans="1:9">
      <c r="A49" t="s">
        <v>157</v>
      </c>
      <c r="B49" t="s">
        <v>158</v>
      </c>
      <c r="C49" t="s">
        <v>159</v>
      </c>
      <c r="D49" t="s">
        <v>79</v>
      </c>
      <c r="E49" t="s">
        <v>52</v>
      </c>
      <c r="F49">
        <v>3</v>
      </c>
      <c r="G49">
        <v>1397.92</v>
      </c>
      <c r="H49">
        <v>4193.76</v>
      </c>
      <c r="I49" t="s">
        <v>47</v>
      </c>
    </row>
    <row r="50" spans="1:9">
      <c r="A50" t="s">
        <v>160</v>
      </c>
      <c r="B50" t="s">
        <v>161</v>
      </c>
      <c r="C50" t="s">
        <v>93</v>
      </c>
      <c r="D50" t="s">
        <v>51</v>
      </c>
      <c r="E50" t="s">
        <v>52</v>
      </c>
      <c r="F50">
        <v>5</v>
      </c>
      <c r="G50">
        <v>1037.95</v>
      </c>
      <c r="H50">
        <v>5189.75</v>
      </c>
      <c r="I50" t="s">
        <v>31</v>
      </c>
    </row>
    <row r="51" spans="1:9">
      <c r="A51" t="s">
        <v>162</v>
      </c>
      <c r="B51" t="s">
        <v>163</v>
      </c>
      <c r="C51" t="s">
        <v>43</v>
      </c>
      <c r="D51" t="s">
        <v>110</v>
      </c>
      <c r="E51" t="s">
        <v>52</v>
      </c>
      <c r="F51">
        <v>2</v>
      </c>
      <c r="G51">
        <v>369.08</v>
      </c>
      <c r="H51">
        <v>738.16</v>
      </c>
      <c r="I51" t="s">
        <v>14</v>
      </c>
    </row>
    <row r="52" spans="1:9">
      <c r="A52" t="s">
        <v>164</v>
      </c>
      <c r="B52" t="s">
        <v>165</v>
      </c>
      <c r="C52" t="s">
        <v>166</v>
      </c>
      <c r="D52" t="s">
        <v>35</v>
      </c>
      <c r="E52" t="s">
        <v>13</v>
      </c>
      <c r="F52">
        <v>5</v>
      </c>
      <c r="G52">
        <v>771.14</v>
      </c>
      <c r="H52">
        <v>3855.7</v>
      </c>
      <c r="I52" t="s">
        <v>14</v>
      </c>
    </row>
    <row r="53" spans="1:9">
      <c r="A53" t="s">
        <v>167</v>
      </c>
      <c r="B53" t="s">
        <v>168</v>
      </c>
      <c r="C53" t="s">
        <v>169</v>
      </c>
      <c r="D53" t="s">
        <v>39</v>
      </c>
      <c r="E53" t="s">
        <v>40</v>
      </c>
      <c r="F53">
        <v>5</v>
      </c>
      <c r="G53">
        <v>1007.94</v>
      </c>
      <c r="H53">
        <v>5039.7</v>
      </c>
      <c r="I53" t="s">
        <v>31</v>
      </c>
    </row>
    <row r="54" spans="1:9">
      <c r="A54" t="s">
        <v>170</v>
      </c>
      <c r="B54" t="s">
        <v>171</v>
      </c>
      <c r="C54" t="s">
        <v>172</v>
      </c>
      <c r="D54" t="s">
        <v>59</v>
      </c>
      <c r="E54" t="s">
        <v>40</v>
      </c>
      <c r="F54">
        <v>4</v>
      </c>
      <c r="G54">
        <v>1050.98</v>
      </c>
      <c r="H54">
        <v>4203.92</v>
      </c>
      <c r="I54" t="s">
        <v>31</v>
      </c>
    </row>
    <row r="55" spans="1:9">
      <c r="A55" t="s">
        <v>173</v>
      </c>
      <c r="B55" t="s">
        <v>174</v>
      </c>
      <c r="C55" t="s">
        <v>82</v>
      </c>
      <c r="D55" t="s">
        <v>110</v>
      </c>
      <c r="E55" t="s">
        <v>52</v>
      </c>
      <c r="F55">
        <v>2</v>
      </c>
      <c r="G55">
        <v>1023.42</v>
      </c>
      <c r="H55">
        <v>2046.84</v>
      </c>
      <c r="I55" t="s">
        <v>14</v>
      </c>
    </row>
    <row r="56" spans="1:9">
      <c r="A56" t="s">
        <v>175</v>
      </c>
      <c r="B56" t="s">
        <v>176</v>
      </c>
      <c r="C56" t="s">
        <v>177</v>
      </c>
      <c r="D56" t="s">
        <v>35</v>
      </c>
      <c r="E56" t="s">
        <v>13</v>
      </c>
      <c r="F56">
        <v>3</v>
      </c>
      <c r="G56">
        <v>1831.84</v>
      </c>
      <c r="H56">
        <v>5495.52</v>
      </c>
      <c r="I56" t="s">
        <v>31</v>
      </c>
    </row>
    <row r="57" spans="1:9">
      <c r="A57" t="s">
        <v>178</v>
      </c>
      <c r="B57" t="s">
        <v>179</v>
      </c>
      <c r="C57" t="s">
        <v>180</v>
      </c>
      <c r="D57" t="s">
        <v>39</v>
      </c>
      <c r="E57" t="s">
        <v>40</v>
      </c>
      <c r="F57">
        <v>2</v>
      </c>
      <c r="G57">
        <v>1789.76</v>
      </c>
      <c r="H57">
        <v>3579.52</v>
      </c>
      <c r="I57" t="s">
        <v>47</v>
      </c>
    </row>
    <row r="58" spans="1:9">
      <c r="A58" t="s">
        <v>181</v>
      </c>
      <c r="B58" t="s">
        <v>182</v>
      </c>
      <c r="C58" t="s">
        <v>183</v>
      </c>
      <c r="D58" t="s">
        <v>12</v>
      </c>
      <c r="E58" t="s">
        <v>13</v>
      </c>
      <c r="F58">
        <v>4</v>
      </c>
      <c r="G58">
        <v>1335.21</v>
      </c>
      <c r="H58">
        <v>5340.84</v>
      </c>
      <c r="I58" t="s">
        <v>31</v>
      </c>
    </row>
    <row r="59" spans="1:9">
      <c r="A59" t="s">
        <v>184</v>
      </c>
      <c r="B59" t="s">
        <v>185</v>
      </c>
      <c r="C59" t="s">
        <v>186</v>
      </c>
      <c r="D59" t="s">
        <v>35</v>
      </c>
      <c r="E59" t="s">
        <v>13</v>
      </c>
      <c r="F59">
        <v>1</v>
      </c>
      <c r="G59">
        <v>561.21</v>
      </c>
      <c r="H59">
        <v>561.21</v>
      </c>
      <c r="I59" t="s">
        <v>23</v>
      </c>
    </row>
    <row r="60" spans="1:9">
      <c r="A60" t="s">
        <v>187</v>
      </c>
      <c r="B60" t="s">
        <v>188</v>
      </c>
      <c r="C60" t="s">
        <v>189</v>
      </c>
      <c r="D60" t="s">
        <v>110</v>
      </c>
      <c r="E60" t="s">
        <v>52</v>
      </c>
      <c r="F60">
        <v>5</v>
      </c>
      <c r="G60">
        <v>424.32</v>
      </c>
      <c r="H60">
        <v>2121.6</v>
      </c>
      <c r="I60" t="s">
        <v>31</v>
      </c>
    </row>
    <row r="61" spans="1:9">
      <c r="A61" t="s">
        <v>190</v>
      </c>
      <c r="B61" t="s">
        <v>191</v>
      </c>
      <c r="C61" t="s">
        <v>192</v>
      </c>
      <c r="D61" t="s">
        <v>35</v>
      </c>
      <c r="E61" t="s">
        <v>13</v>
      </c>
      <c r="F61">
        <v>4</v>
      </c>
      <c r="G61">
        <v>989.82</v>
      </c>
      <c r="H61">
        <v>3959.28</v>
      </c>
      <c r="I61" t="s">
        <v>31</v>
      </c>
    </row>
    <row r="62" spans="1:9">
      <c r="A62" t="s">
        <v>193</v>
      </c>
      <c r="B62" t="s">
        <v>194</v>
      </c>
      <c r="C62" t="s">
        <v>93</v>
      </c>
      <c r="D62" t="s">
        <v>51</v>
      </c>
      <c r="E62" t="s">
        <v>52</v>
      </c>
      <c r="F62">
        <v>4</v>
      </c>
      <c r="G62">
        <v>1235.22</v>
      </c>
      <c r="H62">
        <v>4940.88</v>
      </c>
      <c r="I62" t="s">
        <v>14</v>
      </c>
    </row>
    <row r="63" spans="1:9">
      <c r="A63" t="s">
        <v>195</v>
      </c>
      <c r="B63" t="s">
        <v>196</v>
      </c>
      <c r="C63" t="s">
        <v>180</v>
      </c>
      <c r="D63" t="s">
        <v>51</v>
      </c>
      <c r="E63" t="s">
        <v>52</v>
      </c>
      <c r="F63">
        <v>2</v>
      </c>
      <c r="G63">
        <v>1217.5899999999999</v>
      </c>
      <c r="H63">
        <v>2435.1799999999998</v>
      </c>
      <c r="I63" t="s">
        <v>23</v>
      </c>
    </row>
    <row r="64" spans="1:9">
      <c r="A64" t="s">
        <v>197</v>
      </c>
      <c r="B64" t="s">
        <v>198</v>
      </c>
      <c r="C64" t="s">
        <v>50</v>
      </c>
      <c r="D64" t="s">
        <v>12</v>
      </c>
      <c r="E64" t="s">
        <v>13</v>
      </c>
      <c r="F64">
        <v>2</v>
      </c>
      <c r="G64">
        <v>317.88</v>
      </c>
      <c r="H64">
        <v>635.76</v>
      </c>
      <c r="I64" t="s">
        <v>47</v>
      </c>
    </row>
    <row r="65" spans="1:9">
      <c r="A65" t="s">
        <v>199</v>
      </c>
      <c r="B65" t="s">
        <v>200</v>
      </c>
      <c r="C65" t="s">
        <v>201</v>
      </c>
      <c r="D65" t="s">
        <v>59</v>
      </c>
      <c r="E65" t="s">
        <v>40</v>
      </c>
      <c r="F65">
        <v>1</v>
      </c>
      <c r="G65">
        <v>441.97</v>
      </c>
      <c r="H65">
        <v>441.97</v>
      </c>
      <c r="I65" t="s">
        <v>31</v>
      </c>
    </row>
    <row r="66" spans="1:9">
      <c r="A66" t="s">
        <v>202</v>
      </c>
      <c r="B66" t="s">
        <v>161</v>
      </c>
      <c r="C66" t="s">
        <v>203</v>
      </c>
      <c r="D66" t="s">
        <v>79</v>
      </c>
      <c r="E66" t="s">
        <v>52</v>
      </c>
      <c r="F66">
        <v>1</v>
      </c>
      <c r="G66">
        <v>1750.78</v>
      </c>
      <c r="H66">
        <v>1750.78</v>
      </c>
      <c r="I66" t="s">
        <v>14</v>
      </c>
    </row>
    <row r="67" spans="1:9">
      <c r="A67" t="s">
        <v>204</v>
      </c>
      <c r="B67" t="s">
        <v>205</v>
      </c>
      <c r="C67" t="s">
        <v>135</v>
      </c>
      <c r="D67" t="s">
        <v>12</v>
      </c>
      <c r="E67" t="s">
        <v>13</v>
      </c>
      <c r="F67">
        <v>5</v>
      </c>
      <c r="G67">
        <v>638.4</v>
      </c>
      <c r="H67">
        <v>3192</v>
      </c>
      <c r="I67" t="s">
        <v>23</v>
      </c>
    </row>
    <row r="68" spans="1:9">
      <c r="A68" t="s">
        <v>206</v>
      </c>
      <c r="B68" t="s">
        <v>207</v>
      </c>
      <c r="C68" t="s">
        <v>208</v>
      </c>
      <c r="D68" t="s">
        <v>39</v>
      </c>
      <c r="E68" t="s">
        <v>40</v>
      </c>
      <c r="F68">
        <v>3</v>
      </c>
      <c r="G68">
        <v>62.71</v>
      </c>
      <c r="H68">
        <v>188.13</v>
      </c>
      <c r="I68" t="s">
        <v>47</v>
      </c>
    </row>
    <row r="69" spans="1:9">
      <c r="A69" t="s">
        <v>209</v>
      </c>
      <c r="B69" t="s">
        <v>25</v>
      </c>
      <c r="C69" t="s">
        <v>210</v>
      </c>
      <c r="D69" t="s">
        <v>35</v>
      </c>
      <c r="E69" t="s">
        <v>13</v>
      </c>
      <c r="F69">
        <v>3</v>
      </c>
      <c r="G69">
        <v>1581.31</v>
      </c>
      <c r="H69">
        <v>4743.93</v>
      </c>
      <c r="I69" t="s">
        <v>23</v>
      </c>
    </row>
    <row r="70" spans="1:9">
      <c r="A70" t="s">
        <v>211</v>
      </c>
      <c r="B70" t="s">
        <v>212</v>
      </c>
      <c r="C70" t="s">
        <v>213</v>
      </c>
      <c r="D70" t="s">
        <v>18</v>
      </c>
      <c r="E70" t="s">
        <v>19</v>
      </c>
      <c r="F70">
        <v>5</v>
      </c>
      <c r="G70">
        <v>1353.37</v>
      </c>
      <c r="H70">
        <v>6766.85</v>
      </c>
      <c r="I70" t="s">
        <v>14</v>
      </c>
    </row>
    <row r="71" spans="1:9">
      <c r="A71" t="s">
        <v>214</v>
      </c>
      <c r="B71" t="s">
        <v>81</v>
      </c>
      <c r="C71" t="s">
        <v>113</v>
      </c>
      <c r="D71" t="s">
        <v>12</v>
      </c>
      <c r="E71" t="s">
        <v>13</v>
      </c>
      <c r="F71">
        <v>3</v>
      </c>
      <c r="G71">
        <v>1018</v>
      </c>
      <c r="H71">
        <v>3054</v>
      </c>
      <c r="I71" t="s">
        <v>31</v>
      </c>
    </row>
    <row r="72" spans="1:9">
      <c r="A72" t="s">
        <v>215</v>
      </c>
      <c r="B72" t="s">
        <v>216</v>
      </c>
      <c r="C72" t="s">
        <v>105</v>
      </c>
      <c r="D72" t="s">
        <v>59</v>
      </c>
      <c r="E72" t="s">
        <v>40</v>
      </c>
      <c r="F72">
        <v>2</v>
      </c>
      <c r="G72">
        <v>1979.38</v>
      </c>
      <c r="H72">
        <v>3958.76</v>
      </c>
      <c r="I72" t="s">
        <v>31</v>
      </c>
    </row>
    <row r="73" spans="1:9">
      <c r="A73" t="s">
        <v>217</v>
      </c>
      <c r="B73" t="s">
        <v>218</v>
      </c>
      <c r="C73" t="s">
        <v>219</v>
      </c>
      <c r="D73" t="s">
        <v>18</v>
      </c>
      <c r="E73" t="s">
        <v>19</v>
      </c>
      <c r="F73">
        <v>2</v>
      </c>
      <c r="G73">
        <v>687.42</v>
      </c>
      <c r="H73">
        <v>1374.84</v>
      </c>
      <c r="I73" t="s">
        <v>47</v>
      </c>
    </row>
    <row r="74" spans="1:9">
      <c r="A74" t="s">
        <v>220</v>
      </c>
      <c r="B74" t="s">
        <v>221</v>
      </c>
      <c r="C74" t="s">
        <v>135</v>
      </c>
      <c r="D74" t="s">
        <v>35</v>
      </c>
      <c r="E74" t="s">
        <v>13</v>
      </c>
      <c r="F74">
        <v>3</v>
      </c>
      <c r="G74">
        <v>1636.75</v>
      </c>
      <c r="H74">
        <v>4910.25</v>
      </c>
      <c r="I74" t="s">
        <v>31</v>
      </c>
    </row>
    <row r="75" spans="1:9">
      <c r="A75" t="s">
        <v>222</v>
      </c>
      <c r="B75" t="s">
        <v>223</v>
      </c>
      <c r="C75" t="s">
        <v>213</v>
      </c>
      <c r="D75" t="s">
        <v>79</v>
      </c>
      <c r="E75" t="s">
        <v>52</v>
      </c>
      <c r="F75">
        <v>1</v>
      </c>
      <c r="G75">
        <v>375.59</v>
      </c>
      <c r="H75">
        <v>375.59</v>
      </c>
      <c r="I75" t="s">
        <v>31</v>
      </c>
    </row>
    <row r="76" spans="1:9">
      <c r="A76" t="s">
        <v>224</v>
      </c>
      <c r="B76" t="s">
        <v>185</v>
      </c>
      <c r="C76" t="s">
        <v>156</v>
      </c>
      <c r="D76" t="s">
        <v>51</v>
      </c>
      <c r="E76" t="s">
        <v>52</v>
      </c>
      <c r="F76">
        <v>3</v>
      </c>
      <c r="G76">
        <v>1440.84</v>
      </c>
      <c r="H76">
        <v>4322.5200000000004</v>
      </c>
      <c r="I76" t="s">
        <v>47</v>
      </c>
    </row>
    <row r="77" spans="1:9">
      <c r="A77" t="s">
        <v>225</v>
      </c>
      <c r="B77" t="s">
        <v>174</v>
      </c>
      <c r="C77" t="s">
        <v>226</v>
      </c>
      <c r="D77" t="s">
        <v>30</v>
      </c>
      <c r="E77" t="s">
        <v>19</v>
      </c>
      <c r="F77">
        <v>4</v>
      </c>
      <c r="G77">
        <v>1529.43</v>
      </c>
      <c r="H77">
        <v>6117.72</v>
      </c>
      <c r="I77" t="s">
        <v>31</v>
      </c>
    </row>
    <row r="78" spans="1:9">
      <c r="A78" t="s">
        <v>227</v>
      </c>
      <c r="B78" t="s">
        <v>61</v>
      </c>
      <c r="C78" t="s">
        <v>228</v>
      </c>
      <c r="D78" t="s">
        <v>79</v>
      </c>
      <c r="E78" t="s">
        <v>52</v>
      </c>
      <c r="F78">
        <v>3</v>
      </c>
      <c r="G78">
        <v>1371.52</v>
      </c>
      <c r="H78">
        <v>4114.5600000000004</v>
      </c>
      <c r="I78" t="s">
        <v>47</v>
      </c>
    </row>
    <row r="79" spans="1:9">
      <c r="A79" t="s">
        <v>229</v>
      </c>
      <c r="B79" t="s">
        <v>230</v>
      </c>
      <c r="C79" t="s">
        <v>231</v>
      </c>
      <c r="D79" t="s">
        <v>79</v>
      </c>
      <c r="E79" t="s">
        <v>52</v>
      </c>
      <c r="F79">
        <v>3</v>
      </c>
      <c r="G79">
        <v>1771.66</v>
      </c>
      <c r="H79">
        <v>5314.98</v>
      </c>
      <c r="I79" t="s">
        <v>31</v>
      </c>
    </row>
    <row r="80" spans="1:9">
      <c r="A80" t="s">
        <v>232</v>
      </c>
      <c r="B80" t="s">
        <v>233</v>
      </c>
      <c r="C80" t="s">
        <v>105</v>
      </c>
      <c r="D80" t="s">
        <v>39</v>
      </c>
      <c r="E80" t="s">
        <v>40</v>
      </c>
      <c r="F80">
        <v>5</v>
      </c>
      <c r="G80">
        <v>947.03</v>
      </c>
      <c r="H80">
        <v>4735.1499999999996</v>
      </c>
      <c r="I80" t="s">
        <v>47</v>
      </c>
    </row>
    <row r="81" spans="1:9">
      <c r="A81" t="s">
        <v>234</v>
      </c>
      <c r="B81" t="s">
        <v>235</v>
      </c>
      <c r="C81" t="s">
        <v>183</v>
      </c>
      <c r="D81" t="s">
        <v>79</v>
      </c>
      <c r="E81" t="s">
        <v>52</v>
      </c>
      <c r="F81">
        <v>4</v>
      </c>
      <c r="G81">
        <v>971.46</v>
      </c>
      <c r="H81">
        <v>3885.84</v>
      </c>
      <c r="I81" t="s">
        <v>14</v>
      </c>
    </row>
    <row r="82" spans="1:9">
      <c r="A82" t="s">
        <v>236</v>
      </c>
      <c r="B82" t="s">
        <v>237</v>
      </c>
      <c r="C82" t="s">
        <v>238</v>
      </c>
      <c r="D82" t="s">
        <v>39</v>
      </c>
      <c r="E82" t="s">
        <v>40</v>
      </c>
      <c r="F82">
        <v>2</v>
      </c>
      <c r="G82">
        <v>1882.88</v>
      </c>
      <c r="H82">
        <v>3765.76</v>
      </c>
      <c r="I82" t="s">
        <v>14</v>
      </c>
    </row>
    <row r="83" spans="1:9">
      <c r="A83" t="s">
        <v>239</v>
      </c>
      <c r="B83" t="s">
        <v>240</v>
      </c>
      <c r="C83" t="s">
        <v>93</v>
      </c>
      <c r="D83" t="s">
        <v>79</v>
      </c>
      <c r="E83" t="s">
        <v>52</v>
      </c>
      <c r="F83">
        <v>5</v>
      </c>
      <c r="G83">
        <v>719.16</v>
      </c>
      <c r="H83">
        <v>3595.8</v>
      </c>
      <c r="I83" t="s">
        <v>14</v>
      </c>
    </row>
    <row r="84" spans="1:9">
      <c r="A84" t="s">
        <v>241</v>
      </c>
      <c r="B84" t="s">
        <v>89</v>
      </c>
      <c r="C84" t="s">
        <v>82</v>
      </c>
      <c r="D84" t="s">
        <v>59</v>
      </c>
      <c r="E84" t="s">
        <v>40</v>
      </c>
      <c r="F84">
        <v>3</v>
      </c>
      <c r="G84">
        <v>524.91999999999996</v>
      </c>
      <c r="H84">
        <v>1574.76</v>
      </c>
      <c r="I84" t="s">
        <v>14</v>
      </c>
    </row>
    <row r="85" spans="1:9">
      <c r="A85" t="s">
        <v>242</v>
      </c>
      <c r="B85" t="s">
        <v>155</v>
      </c>
      <c r="C85" t="s">
        <v>93</v>
      </c>
      <c r="D85" t="s">
        <v>18</v>
      </c>
      <c r="E85" t="s">
        <v>19</v>
      </c>
      <c r="F85">
        <v>2</v>
      </c>
      <c r="G85">
        <v>515.02</v>
      </c>
      <c r="H85">
        <v>1030.04</v>
      </c>
      <c r="I85" t="s">
        <v>31</v>
      </c>
    </row>
    <row r="86" spans="1:9">
      <c r="A86" t="s">
        <v>243</v>
      </c>
      <c r="B86" t="s">
        <v>75</v>
      </c>
      <c r="C86" t="s">
        <v>70</v>
      </c>
      <c r="D86" t="s">
        <v>79</v>
      </c>
      <c r="E86" t="s">
        <v>52</v>
      </c>
      <c r="F86">
        <v>5</v>
      </c>
      <c r="G86">
        <v>1892.95</v>
      </c>
      <c r="H86">
        <v>9464.75</v>
      </c>
      <c r="I86" t="s">
        <v>47</v>
      </c>
    </row>
    <row r="87" spans="1:9">
      <c r="A87" t="s">
        <v>244</v>
      </c>
      <c r="B87" t="s">
        <v>245</v>
      </c>
      <c r="C87" t="s">
        <v>246</v>
      </c>
      <c r="D87" t="s">
        <v>30</v>
      </c>
      <c r="E87" t="s">
        <v>19</v>
      </c>
      <c r="F87">
        <v>3</v>
      </c>
      <c r="G87">
        <v>661.53</v>
      </c>
      <c r="H87">
        <v>1984.59</v>
      </c>
      <c r="I87" t="s">
        <v>14</v>
      </c>
    </row>
    <row r="88" spans="1:9">
      <c r="A88" t="s">
        <v>247</v>
      </c>
      <c r="B88" t="s">
        <v>248</v>
      </c>
      <c r="C88" t="s">
        <v>249</v>
      </c>
      <c r="D88" t="s">
        <v>35</v>
      </c>
      <c r="E88" t="s">
        <v>13</v>
      </c>
      <c r="F88">
        <v>2</v>
      </c>
      <c r="G88">
        <v>1637.18</v>
      </c>
      <c r="H88">
        <v>3274.36</v>
      </c>
      <c r="I88" t="s">
        <v>47</v>
      </c>
    </row>
    <row r="89" spans="1:9">
      <c r="A89" t="s">
        <v>250</v>
      </c>
      <c r="B89" t="s">
        <v>251</v>
      </c>
      <c r="C89" t="s">
        <v>146</v>
      </c>
      <c r="D89" t="s">
        <v>79</v>
      </c>
      <c r="E89" t="s">
        <v>52</v>
      </c>
      <c r="F89">
        <v>4</v>
      </c>
      <c r="G89">
        <v>83.74</v>
      </c>
      <c r="H89">
        <v>334.96</v>
      </c>
      <c r="I89" t="s">
        <v>14</v>
      </c>
    </row>
    <row r="90" spans="1:9">
      <c r="A90" t="s">
        <v>252</v>
      </c>
      <c r="B90" t="s">
        <v>253</v>
      </c>
      <c r="C90" t="s">
        <v>254</v>
      </c>
      <c r="D90" t="s">
        <v>35</v>
      </c>
      <c r="E90" t="s">
        <v>13</v>
      </c>
      <c r="F90">
        <v>4</v>
      </c>
      <c r="G90">
        <v>926.19</v>
      </c>
      <c r="H90">
        <v>3704.76</v>
      </c>
      <c r="I90" t="s">
        <v>31</v>
      </c>
    </row>
    <row r="91" spans="1:9">
      <c r="A91" t="s">
        <v>255</v>
      </c>
      <c r="B91" t="s">
        <v>256</v>
      </c>
      <c r="C91" t="s">
        <v>208</v>
      </c>
      <c r="D91" t="s">
        <v>110</v>
      </c>
      <c r="E91" t="s">
        <v>52</v>
      </c>
      <c r="F91">
        <v>5</v>
      </c>
      <c r="G91">
        <v>1247.55</v>
      </c>
      <c r="H91">
        <v>6237.75</v>
      </c>
      <c r="I91" t="s">
        <v>14</v>
      </c>
    </row>
    <row r="92" spans="1:9">
      <c r="A92" t="s">
        <v>257</v>
      </c>
      <c r="B92" t="s">
        <v>150</v>
      </c>
      <c r="C92" t="s">
        <v>166</v>
      </c>
      <c r="D92" t="s">
        <v>18</v>
      </c>
      <c r="E92" t="s">
        <v>19</v>
      </c>
      <c r="F92">
        <v>3</v>
      </c>
      <c r="G92">
        <v>1602.42</v>
      </c>
      <c r="H92">
        <v>4807.26</v>
      </c>
      <c r="I92" t="s">
        <v>31</v>
      </c>
    </row>
    <row r="93" spans="1:9">
      <c r="A93" t="s">
        <v>258</v>
      </c>
      <c r="B93" t="s">
        <v>259</v>
      </c>
      <c r="C93" t="s">
        <v>260</v>
      </c>
      <c r="D93" t="s">
        <v>79</v>
      </c>
      <c r="E93" t="s">
        <v>52</v>
      </c>
      <c r="F93">
        <v>2</v>
      </c>
      <c r="G93">
        <v>918.5</v>
      </c>
      <c r="H93">
        <v>1837</v>
      </c>
      <c r="I93" t="s">
        <v>23</v>
      </c>
    </row>
    <row r="94" spans="1:9">
      <c r="A94" t="s">
        <v>261</v>
      </c>
      <c r="B94" t="s">
        <v>262</v>
      </c>
      <c r="C94" t="s">
        <v>68</v>
      </c>
      <c r="D94" t="s">
        <v>35</v>
      </c>
      <c r="E94" t="s">
        <v>13</v>
      </c>
      <c r="F94">
        <v>3</v>
      </c>
      <c r="G94">
        <v>320.20999999999998</v>
      </c>
      <c r="H94">
        <v>960.63</v>
      </c>
      <c r="I94" t="s">
        <v>23</v>
      </c>
    </row>
    <row r="95" spans="1:9">
      <c r="A95" t="s">
        <v>263</v>
      </c>
      <c r="B95" t="s">
        <v>264</v>
      </c>
      <c r="C95" t="s">
        <v>265</v>
      </c>
      <c r="D95" t="s">
        <v>59</v>
      </c>
      <c r="E95" t="s">
        <v>40</v>
      </c>
      <c r="F95">
        <v>4</v>
      </c>
      <c r="G95">
        <v>493.67</v>
      </c>
      <c r="H95">
        <v>1974.68</v>
      </c>
      <c r="I95" t="s">
        <v>47</v>
      </c>
    </row>
    <row r="96" spans="1:9">
      <c r="A96" t="s">
        <v>266</v>
      </c>
      <c r="B96" t="s">
        <v>267</v>
      </c>
      <c r="C96" t="s">
        <v>268</v>
      </c>
      <c r="D96" t="s">
        <v>30</v>
      </c>
      <c r="E96" t="s">
        <v>19</v>
      </c>
      <c r="F96">
        <v>4</v>
      </c>
      <c r="G96">
        <v>1528.31</v>
      </c>
      <c r="H96">
        <v>6113.24</v>
      </c>
      <c r="I96" t="s">
        <v>31</v>
      </c>
    </row>
    <row r="97" spans="1:9">
      <c r="A97" t="s">
        <v>269</v>
      </c>
      <c r="B97" t="s">
        <v>270</v>
      </c>
      <c r="C97" t="s">
        <v>268</v>
      </c>
      <c r="D97" t="s">
        <v>79</v>
      </c>
      <c r="E97" t="s">
        <v>52</v>
      </c>
      <c r="F97">
        <v>5</v>
      </c>
      <c r="G97">
        <v>1436.16</v>
      </c>
      <c r="H97">
        <v>7180.8</v>
      </c>
      <c r="I97" t="s">
        <v>31</v>
      </c>
    </row>
    <row r="98" spans="1:9">
      <c r="A98" t="s">
        <v>271</v>
      </c>
      <c r="B98" t="s">
        <v>272</v>
      </c>
      <c r="C98" t="s">
        <v>273</v>
      </c>
      <c r="D98" t="s">
        <v>51</v>
      </c>
      <c r="E98" t="s">
        <v>52</v>
      </c>
      <c r="F98">
        <v>4</v>
      </c>
      <c r="G98">
        <v>315.87</v>
      </c>
      <c r="H98">
        <v>1263.48</v>
      </c>
      <c r="I98" t="s">
        <v>14</v>
      </c>
    </row>
    <row r="99" spans="1:9">
      <c r="A99" t="s">
        <v>274</v>
      </c>
      <c r="B99" t="s">
        <v>275</v>
      </c>
      <c r="C99" t="s">
        <v>276</v>
      </c>
      <c r="D99" t="s">
        <v>110</v>
      </c>
      <c r="E99" t="s">
        <v>52</v>
      </c>
      <c r="F99">
        <v>4</v>
      </c>
      <c r="G99">
        <v>1918.75</v>
      </c>
      <c r="H99">
        <v>7675</v>
      </c>
      <c r="I99" t="s">
        <v>47</v>
      </c>
    </row>
    <row r="100" spans="1:9">
      <c r="A100" t="s">
        <v>277</v>
      </c>
      <c r="B100" t="s">
        <v>253</v>
      </c>
      <c r="C100" t="s">
        <v>278</v>
      </c>
      <c r="D100" t="s">
        <v>35</v>
      </c>
      <c r="E100" t="s">
        <v>13</v>
      </c>
      <c r="F100">
        <v>3</v>
      </c>
      <c r="G100">
        <v>205.7</v>
      </c>
      <c r="H100">
        <v>617.1</v>
      </c>
      <c r="I100" t="s">
        <v>14</v>
      </c>
    </row>
    <row r="101" spans="1:9">
      <c r="A101" t="s">
        <v>279</v>
      </c>
      <c r="B101" t="s">
        <v>280</v>
      </c>
      <c r="C101" t="s">
        <v>249</v>
      </c>
      <c r="D101" t="s">
        <v>12</v>
      </c>
      <c r="E101" t="s">
        <v>13</v>
      </c>
      <c r="F101">
        <v>4</v>
      </c>
      <c r="G101">
        <v>603.54999999999995</v>
      </c>
      <c r="H101">
        <v>2414.1999999999998</v>
      </c>
      <c r="I101" t="s">
        <v>23</v>
      </c>
    </row>
    <row r="102" spans="1:9">
      <c r="A102" t="s">
        <v>281</v>
      </c>
      <c r="B102" t="s">
        <v>282</v>
      </c>
      <c r="C102" t="s">
        <v>283</v>
      </c>
      <c r="D102" t="s">
        <v>12</v>
      </c>
      <c r="E102" t="s">
        <v>13</v>
      </c>
      <c r="F102">
        <v>4</v>
      </c>
      <c r="G102">
        <v>1865.26</v>
      </c>
      <c r="H102">
        <v>7461.04</v>
      </c>
      <c r="I102" t="s">
        <v>31</v>
      </c>
    </row>
    <row r="103" spans="1:9">
      <c r="A103" t="s">
        <v>284</v>
      </c>
      <c r="B103" t="s">
        <v>75</v>
      </c>
      <c r="C103" t="s">
        <v>238</v>
      </c>
      <c r="D103" t="s">
        <v>59</v>
      </c>
      <c r="E103" t="s">
        <v>40</v>
      </c>
      <c r="F103">
        <v>2</v>
      </c>
      <c r="G103">
        <v>1964.06</v>
      </c>
      <c r="H103">
        <v>3928.12</v>
      </c>
      <c r="I103" t="s">
        <v>31</v>
      </c>
    </row>
    <row r="104" spans="1:9">
      <c r="A104" t="s">
        <v>285</v>
      </c>
      <c r="B104" t="s">
        <v>286</v>
      </c>
      <c r="C104" t="s">
        <v>287</v>
      </c>
      <c r="D104" t="s">
        <v>12</v>
      </c>
      <c r="E104" t="s">
        <v>13</v>
      </c>
      <c r="F104">
        <v>3</v>
      </c>
      <c r="G104">
        <v>303.85000000000002</v>
      </c>
      <c r="H104">
        <v>911.55</v>
      </c>
      <c r="I104" t="s">
        <v>23</v>
      </c>
    </row>
    <row r="105" spans="1:9">
      <c r="A105" t="s">
        <v>288</v>
      </c>
      <c r="B105" t="s">
        <v>289</v>
      </c>
      <c r="C105" t="s">
        <v>290</v>
      </c>
      <c r="D105" t="s">
        <v>51</v>
      </c>
      <c r="E105" t="s">
        <v>52</v>
      </c>
      <c r="F105">
        <v>1</v>
      </c>
      <c r="G105">
        <v>1725.16</v>
      </c>
      <c r="H105">
        <v>1725.16</v>
      </c>
      <c r="I105" t="s">
        <v>31</v>
      </c>
    </row>
    <row r="106" spans="1:9">
      <c r="A106" t="s">
        <v>291</v>
      </c>
      <c r="B106" t="s">
        <v>292</v>
      </c>
      <c r="C106" t="s">
        <v>293</v>
      </c>
      <c r="D106" t="s">
        <v>110</v>
      </c>
      <c r="E106" t="s">
        <v>52</v>
      </c>
      <c r="F106">
        <v>1</v>
      </c>
      <c r="G106">
        <v>494.6</v>
      </c>
      <c r="H106">
        <v>494.6</v>
      </c>
      <c r="I106" t="s">
        <v>14</v>
      </c>
    </row>
    <row r="107" spans="1:9">
      <c r="A107" t="s">
        <v>294</v>
      </c>
      <c r="B107" t="s">
        <v>295</v>
      </c>
      <c r="C107" t="s">
        <v>50</v>
      </c>
      <c r="D107" t="s">
        <v>79</v>
      </c>
      <c r="E107" t="s">
        <v>52</v>
      </c>
      <c r="F107">
        <v>2</v>
      </c>
      <c r="G107">
        <v>1854.15</v>
      </c>
      <c r="H107">
        <v>3708.3</v>
      </c>
      <c r="I107" t="s">
        <v>14</v>
      </c>
    </row>
    <row r="108" spans="1:9">
      <c r="A108" t="s">
        <v>296</v>
      </c>
      <c r="B108" t="s">
        <v>207</v>
      </c>
      <c r="C108" t="s">
        <v>297</v>
      </c>
      <c r="D108" t="s">
        <v>39</v>
      </c>
      <c r="E108" t="s">
        <v>40</v>
      </c>
      <c r="F108">
        <v>3</v>
      </c>
      <c r="G108">
        <v>1470.33</v>
      </c>
      <c r="H108">
        <v>4410.99</v>
      </c>
      <c r="I108" t="s">
        <v>47</v>
      </c>
    </row>
    <row r="109" spans="1:9">
      <c r="A109" t="s">
        <v>298</v>
      </c>
      <c r="B109" t="s">
        <v>158</v>
      </c>
      <c r="C109" t="s">
        <v>113</v>
      </c>
      <c r="D109" t="s">
        <v>39</v>
      </c>
      <c r="E109" t="s">
        <v>40</v>
      </c>
      <c r="F109">
        <v>2</v>
      </c>
      <c r="G109">
        <v>301.61</v>
      </c>
      <c r="H109">
        <v>603.22</v>
      </c>
      <c r="I109" t="s">
        <v>47</v>
      </c>
    </row>
    <row r="110" spans="1:9">
      <c r="A110" t="s">
        <v>299</v>
      </c>
      <c r="B110" t="s">
        <v>300</v>
      </c>
      <c r="C110" t="s">
        <v>38</v>
      </c>
      <c r="D110" t="s">
        <v>79</v>
      </c>
      <c r="E110" t="s">
        <v>52</v>
      </c>
      <c r="F110">
        <v>5</v>
      </c>
      <c r="G110">
        <v>603.28</v>
      </c>
      <c r="H110">
        <v>3016.4</v>
      </c>
      <c r="I110" t="s">
        <v>14</v>
      </c>
    </row>
    <row r="111" spans="1:9">
      <c r="A111" t="s">
        <v>301</v>
      </c>
      <c r="B111" t="s">
        <v>101</v>
      </c>
      <c r="C111" t="s">
        <v>183</v>
      </c>
      <c r="D111" t="s">
        <v>12</v>
      </c>
      <c r="E111" t="s">
        <v>13</v>
      </c>
      <c r="F111">
        <v>3</v>
      </c>
      <c r="G111">
        <v>1872.88</v>
      </c>
      <c r="H111">
        <v>5618.64</v>
      </c>
      <c r="I111" t="s">
        <v>47</v>
      </c>
    </row>
    <row r="112" spans="1:9">
      <c r="A112" t="s">
        <v>302</v>
      </c>
      <c r="B112" t="s">
        <v>303</v>
      </c>
      <c r="C112" t="s">
        <v>276</v>
      </c>
      <c r="D112" t="s">
        <v>12</v>
      </c>
      <c r="E112" t="s">
        <v>13</v>
      </c>
      <c r="F112">
        <v>4</v>
      </c>
      <c r="G112">
        <v>1856.24</v>
      </c>
      <c r="H112">
        <v>7424.96</v>
      </c>
      <c r="I112" t="s">
        <v>23</v>
      </c>
    </row>
    <row r="113" spans="1:9">
      <c r="A113" t="s">
        <v>304</v>
      </c>
      <c r="B113" t="s">
        <v>305</v>
      </c>
      <c r="C113" t="s">
        <v>201</v>
      </c>
      <c r="D113" t="s">
        <v>59</v>
      </c>
      <c r="E113" t="s">
        <v>40</v>
      </c>
      <c r="F113">
        <v>5</v>
      </c>
      <c r="G113">
        <v>949.8</v>
      </c>
      <c r="H113">
        <v>4749</v>
      </c>
      <c r="I113" t="s">
        <v>47</v>
      </c>
    </row>
    <row r="114" spans="1:9">
      <c r="A114" t="s">
        <v>306</v>
      </c>
      <c r="B114" t="s">
        <v>205</v>
      </c>
      <c r="C114" t="s">
        <v>226</v>
      </c>
      <c r="D114" t="s">
        <v>18</v>
      </c>
      <c r="E114" t="s">
        <v>19</v>
      </c>
      <c r="F114">
        <v>2</v>
      </c>
      <c r="G114">
        <v>1632.93</v>
      </c>
      <c r="H114">
        <v>3265.86</v>
      </c>
      <c r="I114" t="s">
        <v>23</v>
      </c>
    </row>
    <row r="115" spans="1:9">
      <c r="A115" t="s">
        <v>307</v>
      </c>
      <c r="B115" t="s">
        <v>253</v>
      </c>
      <c r="C115" t="s">
        <v>308</v>
      </c>
      <c r="D115" t="s">
        <v>35</v>
      </c>
      <c r="E115" t="s">
        <v>13</v>
      </c>
      <c r="F115">
        <v>4</v>
      </c>
      <c r="G115">
        <v>1995.82</v>
      </c>
      <c r="H115">
        <v>7983.28</v>
      </c>
      <c r="I115" t="s">
        <v>47</v>
      </c>
    </row>
    <row r="116" spans="1:9">
      <c r="A116" t="s">
        <v>309</v>
      </c>
      <c r="B116" t="s">
        <v>310</v>
      </c>
      <c r="C116" t="s">
        <v>73</v>
      </c>
      <c r="D116" t="s">
        <v>30</v>
      </c>
      <c r="E116" t="s">
        <v>19</v>
      </c>
      <c r="F116">
        <v>4</v>
      </c>
      <c r="G116">
        <v>917.64</v>
      </c>
      <c r="H116">
        <v>3670.56</v>
      </c>
      <c r="I116" t="s">
        <v>31</v>
      </c>
    </row>
    <row r="117" spans="1:9">
      <c r="A117" t="s">
        <v>311</v>
      </c>
      <c r="B117" t="s">
        <v>312</v>
      </c>
      <c r="C117" t="s">
        <v>313</v>
      </c>
      <c r="D117" t="s">
        <v>30</v>
      </c>
      <c r="E117" t="s">
        <v>19</v>
      </c>
      <c r="F117">
        <v>1</v>
      </c>
      <c r="G117">
        <v>1666.57</v>
      </c>
      <c r="H117">
        <v>1666.57</v>
      </c>
      <c r="I117" t="s">
        <v>47</v>
      </c>
    </row>
    <row r="118" spans="1:9">
      <c r="A118" t="s">
        <v>314</v>
      </c>
      <c r="B118" t="s">
        <v>315</v>
      </c>
      <c r="C118" t="s">
        <v>316</v>
      </c>
      <c r="D118" t="s">
        <v>30</v>
      </c>
      <c r="E118" t="s">
        <v>19</v>
      </c>
      <c r="F118">
        <v>5</v>
      </c>
      <c r="G118">
        <v>1237.3399999999999</v>
      </c>
      <c r="H118">
        <v>6186.7</v>
      </c>
      <c r="I118" t="s">
        <v>47</v>
      </c>
    </row>
    <row r="119" spans="1:9">
      <c r="A119" t="s">
        <v>317</v>
      </c>
      <c r="B119" t="s">
        <v>318</v>
      </c>
      <c r="C119" t="s">
        <v>319</v>
      </c>
      <c r="D119" t="s">
        <v>59</v>
      </c>
      <c r="E119" t="s">
        <v>40</v>
      </c>
      <c r="F119">
        <v>5</v>
      </c>
      <c r="G119">
        <v>1404.5</v>
      </c>
      <c r="H119">
        <v>7022.5</v>
      </c>
      <c r="I119" t="s">
        <v>23</v>
      </c>
    </row>
    <row r="120" spans="1:9">
      <c r="A120" t="s">
        <v>320</v>
      </c>
      <c r="B120" t="s">
        <v>321</v>
      </c>
      <c r="C120" t="s">
        <v>130</v>
      </c>
      <c r="D120" t="s">
        <v>51</v>
      </c>
      <c r="E120" t="s">
        <v>52</v>
      </c>
      <c r="F120">
        <v>4</v>
      </c>
      <c r="G120">
        <v>824.58</v>
      </c>
      <c r="H120">
        <v>3298.32</v>
      </c>
      <c r="I120" t="s">
        <v>31</v>
      </c>
    </row>
    <row r="121" spans="1:9">
      <c r="A121" t="s">
        <v>322</v>
      </c>
      <c r="B121" t="s">
        <v>323</v>
      </c>
      <c r="C121" t="s">
        <v>78</v>
      </c>
      <c r="D121" t="s">
        <v>18</v>
      </c>
      <c r="E121" t="s">
        <v>19</v>
      </c>
      <c r="F121">
        <v>5</v>
      </c>
      <c r="G121">
        <v>1744.56</v>
      </c>
      <c r="H121">
        <v>8722.7999999999993</v>
      </c>
      <c r="I121" t="s">
        <v>14</v>
      </c>
    </row>
    <row r="122" spans="1:9">
      <c r="A122" t="s">
        <v>324</v>
      </c>
      <c r="B122" t="s">
        <v>325</v>
      </c>
      <c r="C122" t="s">
        <v>276</v>
      </c>
      <c r="D122" t="s">
        <v>51</v>
      </c>
      <c r="E122" t="s">
        <v>52</v>
      </c>
      <c r="F122">
        <v>4</v>
      </c>
      <c r="G122">
        <v>1110.6199999999999</v>
      </c>
      <c r="H122">
        <v>4442.4799999999996</v>
      </c>
      <c r="I122" t="s">
        <v>14</v>
      </c>
    </row>
    <row r="123" spans="1:9">
      <c r="A123" t="s">
        <v>326</v>
      </c>
      <c r="B123" t="s">
        <v>327</v>
      </c>
      <c r="C123" t="s">
        <v>169</v>
      </c>
      <c r="D123" t="s">
        <v>18</v>
      </c>
      <c r="E123" t="s">
        <v>19</v>
      </c>
      <c r="F123">
        <v>1</v>
      </c>
      <c r="G123">
        <v>1217.9100000000001</v>
      </c>
      <c r="H123">
        <v>1217.9100000000001</v>
      </c>
      <c r="I123" t="s">
        <v>31</v>
      </c>
    </row>
    <row r="124" spans="1:9">
      <c r="A124" t="s">
        <v>328</v>
      </c>
      <c r="B124" t="s">
        <v>329</v>
      </c>
      <c r="C124" t="s">
        <v>297</v>
      </c>
      <c r="D124" t="s">
        <v>79</v>
      </c>
      <c r="E124" t="s">
        <v>52</v>
      </c>
      <c r="F124">
        <v>2</v>
      </c>
      <c r="G124">
        <v>1937.71</v>
      </c>
      <c r="H124">
        <v>3875.42</v>
      </c>
      <c r="I124" t="s">
        <v>23</v>
      </c>
    </row>
    <row r="125" spans="1:9">
      <c r="A125" t="s">
        <v>330</v>
      </c>
      <c r="B125" t="s">
        <v>331</v>
      </c>
      <c r="C125" t="s">
        <v>213</v>
      </c>
      <c r="D125" t="s">
        <v>35</v>
      </c>
      <c r="E125" t="s">
        <v>13</v>
      </c>
      <c r="F125">
        <v>3</v>
      </c>
      <c r="G125">
        <v>1758.75</v>
      </c>
      <c r="H125">
        <v>5276.25</v>
      </c>
      <c r="I125" t="s">
        <v>14</v>
      </c>
    </row>
    <row r="126" spans="1:9">
      <c r="A126" t="s">
        <v>332</v>
      </c>
      <c r="B126" t="s">
        <v>21</v>
      </c>
      <c r="C126" t="s">
        <v>70</v>
      </c>
      <c r="D126" t="s">
        <v>35</v>
      </c>
      <c r="E126" t="s">
        <v>13</v>
      </c>
      <c r="F126">
        <v>4</v>
      </c>
      <c r="G126">
        <v>605.53</v>
      </c>
      <c r="H126">
        <v>2422.12</v>
      </c>
      <c r="I126" t="s">
        <v>14</v>
      </c>
    </row>
    <row r="127" spans="1:9">
      <c r="A127" t="s">
        <v>333</v>
      </c>
      <c r="B127" t="s">
        <v>334</v>
      </c>
      <c r="C127" t="s">
        <v>177</v>
      </c>
      <c r="D127" t="s">
        <v>79</v>
      </c>
      <c r="E127" t="s">
        <v>52</v>
      </c>
      <c r="F127">
        <v>5</v>
      </c>
      <c r="G127">
        <v>1894.51</v>
      </c>
      <c r="H127">
        <v>9472.5499999999993</v>
      </c>
      <c r="I127" t="s">
        <v>47</v>
      </c>
    </row>
    <row r="128" spans="1:9">
      <c r="A128" t="s">
        <v>335</v>
      </c>
      <c r="B128" t="s">
        <v>336</v>
      </c>
      <c r="C128" t="s">
        <v>337</v>
      </c>
      <c r="D128" t="s">
        <v>51</v>
      </c>
      <c r="E128" t="s">
        <v>52</v>
      </c>
      <c r="F128">
        <v>4</v>
      </c>
      <c r="G128">
        <v>1220.96</v>
      </c>
      <c r="H128">
        <v>4883.84</v>
      </c>
      <c r="I128" t="s">
        <v>31</v>
      </c>
    </row>
    <row r="129" spans="1:9">
      <c r="A129" t="s">
        <v>338</v>
      </c>
      <c r="B129" t="s">
        <v>339</v>
      </c>
      <c r="C129" t="s">
        <v>340</v>
      </c>
      <c r="D129" t="s">
        <v>12</v>
      </c>
      <c r="E129" t="s">
        <v>13</v>
      </c>
      <c r="F129">
        <v>2</v>
      </c>
      <c r="G129">
        <v>201.86</v>
      </c>
      <c r="H129">
        <v>403.72</v>
      </c>
      <c r="I129" t="s">
        <v>14</v>
      </c>
    </row>
    <row r="130" spans="1:9">
      <c r="A130" t="s">
        <v>341</v>
      </c>
      <c r="B130" t="s">
        <v>342</v>
      </c>
      <c r="C130" t="s">
        <v>343</v>
      </c>
      <c r="D130" t="s">
        <v>12</v>
      </c>
      <c r="E130" t="s">
        <v>13</v>
      </c>
      <c r="F130">
        <v>1</v>
      </c>
      <c r="G130">
        <v>1172.0999999999999</v>
      </c>
      <c r="H130">
        <v>1172.0999999999999</v>
      </c>
      <c r="I130" t="s">
        <v>23</v>
      </c>
    </row>
    <row r="131" spans="1:9">
      <c r="A131" t="s">
        <v>344</v>
      </c>
      <c r="B131" t="s">
        <v>342</v>
      </c>
      <c r="C131" t="s">
        <v>345</v>
      </c>
      <c r="D131" t="s">
        <v>35</v>
      </c>
      <c r="E131" t="s">
        <v>13</v>
      </c>
      <c r="F131">
        <v>2</v>
      </c>
      <c r="G131">
        <v>1351.01</v>
      </c>
      <c r="H131">
        <v>2702.02</v>
      </c>
      <c r="I131" t="s">
        <v>14</v>
      </c>
    </row>
    <row r="132" spans="1:9">
      <c r="A132" t="s">
        <v>346</v>
      </c>
      <c r="B132" t="s">
        <v>347</v>
      </c>
      <c r="C132" t="s">
        <v>337</v>
      </c>
      <c r="D132" t="s">
        <v>39</v>
      </c>
      <c r="E132" t="s">
        <v>40</v>
      </c>
      <c r="F132">
        <v>3</v>
      </c>
      <c r="G132">
        <v>268.12</v>
      </c>
      <c r="H132">
        <v>804.36</v>
      </c>
      <c r="I132" t="s">
        <v>47</v>
      </c>
    </row>
    <row r="133" spans="1:9">
      <c r="A133" t="s">
        <v>348</v>
      </c>
      <c r="B133" t="s">
        <v>349</v>
      </c>
      <c r="C133" t="s">
        <v>130</v>
      </c>
      <c r="D133" t="s">
        <v>51</v>
      </c>
      <c r="E133" t="s">
        <v>52</v>
      </c>
      <c r="F133">
        <v>3</v>
      </c>
      <c r="G133">
        <v>715.78</v>
      </c>
      <c r="H133">
        <v>2147.34</v>
      </c>
      <c r="I133" t="s">
        <v>14</v>
      </c>
    </row>
    <row r="134" spans="1:9">
      <c r="A134" t="s">
        <v>350</v>
      </c>
      <c r="B134" t="s">
        <v>329</v>
      </c>
      <c r="C134" t="s">
        <v>121</v>
      </c>
      <c r="D134" t="s">
        <v>12</v>
      </c>
      <c r="E134" t="s">
        <v>13</v>
      </c>
      <c r="F134">
        <v>5</v>
      </c>
      <c r="G134">
        <v>615.19000000000005</v>
      </c>
      <c r="H134">
        <v>3075.95</v>
      </c>
      <c r="I134" t="s">
        <v>23</v>
      </c>
    </row>
    <row r="135" spans="1:9">
      <c r="A135" t="s">
        <v>351</v>
      </c>
      <c r="B135" t="s">
        <v>352</v>
      </c>
      <c r="C135" t="s">
        <v>353</v>
      </c>
      <c r="D135" t="s">
        <v>79</v>
      </c>
      <c r="E135" t="s">
        <v>52</v>
      </c>
      <c r="F135">
        <v>4</v>
      </c>
      <c r="G135">
        <v>1771.58</v>
      </c>
      <c r="H135">
        <v>7086.32</v>
      </c>
      <c r="I135" t="s">
        <v>23</v>
      </c>
    </row>
    <row r="136" spans="1:9">
      <c r="A136" t="s">
        <v>354</v>
      </c>
      <c r="B136" t="s">
        <v>355</v>
      </c>
      <c r="C136" t="s">
        <v>46</v>
      </c>
      <c r="D136" t="s">
        <v>51</v>
      </c>
      <c r="E136" t="s">
        <v>52</v>
      </c>
      <c r="F136">
        <v>5</v>
      </c>
      <c r="G136">
        <v>444.16</v>
      </c>
      <c r="H136">
        <v>2220.8000000000002</v>
      </c>
      <c r="I136" t="s">
        <v>47</v>
      </c>
    </row>
    <row r="137" spans="1:9">
      <c r="A137" t="s">
        <v>356</v>
      </c>
      <c r="B137" t="s">
        <v>357</v>
      </c>
      <c r="C137" t="s">
        <v>358</v>
      </c>
      <c r="D137" t="s">
        <v>39</v>
      </c>
      <c r="E137" t="s">
        <v>40</v>
      </c>
      <c r="F137">
        <v>2</v>
      </c>
      <c r="G137">
        <v>1727.18</v>
      </c>
      <c r="H137">
        <v>3454.36</v>
      </c>
      <c r="I137" t="s">
        <v>47</v>
      </c>
    </row>
    <row r="138" spans="1:9">
      <c r="A138" t="s">
        <v>359</v>
      </c>
      <c r="B138" t="s">
        <v>360</v>
      </c>
      <c r="C138" t="s">
        <v>361</v>
      </c>
      <c r="D138" t="s">
        <v>35</v>
      </c>
      <c r="E138" t="s">
        <v>13</v>
      </c>
      <c r="F138">
        <v>4</v>
      </c>
      <c r="G138">
        <v>295.98</v>
      </c>
      <c r="H138">
        <v>1183.92</v>
      </c>
      <c r="I138" t="s">
        <v>23</v>
      </c>
    </row>
    <row r="139" spans="1:9">
      <c r="A139" t="s">
        <v>362</v>
      </c>
      <c r="B139" t="s">
        <v>318</v>
      </c>
      <c r="C139" t="s">
        <v>169</v>
      </c>
      <c r="D139" t="s">
        <v>18</v>
      </c>
      <c r="E139" t="s">
        <v>19</v>
      </c>
      <c r="F139">
        <v>2</v>
      </c>
      <c r="G139">
        <v>440.01</v>
      </c>
      <c r="H139">
        <v>880.02</v>
      </c>
      <c r="I139" t="s">
        <v>14</v>
      </c>
    </row>
    <row r="140" spans="1:9">
      <c r="A140" t="s">
        <v>363</v>
      </c>
      <c r="B140" t="s">
        <v>364</v>
      </c>
      <c r="C140" t="s">
        <v>365</v>
      </c>
      <c r="D140" t="s">
        <v>30</v>
      </c>
      <c r="E140" t="s">
        <v>19</v>
      </c>
      <c r="F140">
        <v>5</v>
      </c>
      <c r="G140">
        <v>958.94</v>
      </c>
      <c r="H140">
        <v>4794.7</v>
      </c>
      <c r="I140" t="s">
        <v>31</v>
      </c>
    </row>
    <row r="141" spans="1:9">
      <c r="A141" t="s">
        <v>366</v>
      </c>
      <c r="B141" t="s">
        <v>367</v>
      </c>
      <c r="C141" t="s">
        <v>368</v>
      </c>
      <c r="D141" t="s">
        <v>35</v>
      </c>
      <c r="E141" t="s">
        <v>13</v>
      </c>
      <c r="F141">
        <v>5</v>
      </c>
      <c r="G141">
        <v>1569.49</v>
      </c>
      <c r="H141">
        <v>7847.45</v>
      </c>
      <c r="I141" t="s">
        <v>14</v>
      </c>
    </row>
    <row r="142" spans="1:9">
      <c r="A142" t="s">
        <v>369</v>
      </c>
      <c r="B142" t="s">
        <v>370</v>
      </c>
      <c r="C142" t="s">
        <v>371</v>
      </c>
      <c r="D142" t="s">
        <v>12</v>
      </c>
      <c r="E142" t="s">
        <v>13</v>
      </c>
      <c r="F142">
        <v>4</v>
      </c>
      <c r="G142">
        <v>53.44</v>
      </c>
      <c r="H142">
        <v>213.76</v>
      </c>
      <c r="I142" t="s">
        <v>23</v>
      </c>
    </row>
    <row r="143" spans="1:9">
      <c r="A143" t="s">
        <v>372</v>
      </c>
      <c r="B143" t="s">
        <v>240</v>
      </c>
      <c r="C143" t="s">
        <v>290</v>
      </c>
      <c r="D143" t="s">
        <v>51</v>
      </c>
      <c r="E143" t="s">
        <v>52</v>
      </c>
      <c r="F143">
        <v>3</v>
      </c>
      <c r="G143">
        <v>724.11</v>
      </c>
      <c r="H143">
        <v>2172.33</v>
      </c>
      <c r="I143" t="s">
        <v>31</v>
      </c>
    </row>
    <row r="144" spans="1:9">
      <c r="A144" t="s">
        <v>373</v>
      </c>
      <c r="B144" t="s">
        <v>374</v>
      </c>
      <c r="C144" t="s">
        <v>201</v>
      </c>
      <c r="D144" t="s">
        <v>12</v>
      </c>
      <c r="E144" t="s">
        <v>13</v>
      </c>
      <c r="F144">
        <v>2</v>
      </c>
      <c r="G144">
        <v>63.31</v>
      </c>
      <c r="H144">
        <v>126.62</v>
      </c>
      <c r="I144" t="s">
        <v>31</v>
      </c>
    </row>
    <row r="145" spans="1:9">
      <c r="A145" t="s">
        <v>375</v>
      </c>
      <c r="B145" t="s">
        <v>129</v>
      </c>
      <c r="C145" t="s">
        <v>297</v>
      </c>
      <c r="D145" t="s">
        <v>12</v>
      </c>
      <c r="E145" t="s">
        <v>13</v>
      </c>
      <c r="F145">
        <v>2</v>
      </c>
      <c r="G145">
        <v>927.7</v>
      </c>
      <c r="H145">
        <v>1855.4</v>
      </c>
      <c r="I145" t="s">
        <v>23</v>
      </c>
    </row>
    <row r="146" spans="1:9">
      <c r="A146" t="s">
        <v>376</v>
      </c>
      <c r="B146" t="s">
        <v>377</v>
      </c>
      <c r="C146" t="s">
        <v>378</v>
      </c>
      <c r="D146" t="s">
        <v>79</v>
      </c>
      <c r="E146" t="s">
        <v>52</v>
      </c>
      <c r="F146">
        <v>5</v>
      </c>
      <c r="G146">
        <v>412</v>
      </c>
      <c r="H146">
        <v>2060</v>
      </c>
      <c r="I146" t="s">
        <v>31</v>
      </c>
    </row>
    <row r="147" spans="1:9">
      <c r="A147" t="s">
        <v>379</v>
      </c>
      <c r="B147" t="s">
        <v>380</v>
      </c>
      <c r="C147" t="s">
        <v>210</v>
      </c>
      <c r="D147" t="s">
        <v>30</v>
      </c>
      <c r="E147" t="s">
        <v>19</v>
      </c>
      <c r="F147">
        <v>2</v>
      </c>
      <c r="G147">
        <v>1139.4100000000001</v>
      </c>
      <c r="H147">
        <v>2278.8200000000002</v>
      </c>
      <c r="I147" t="s">
        <v>47</v>
      </c>
    </row>
    <row r="148" spans="1:9">
      <c r="A148" t="s">
        <v>381</v>
      </c>
      <c r="B148" t="s">
        <v>115</v>
      </c>
      <c r="C148" t="s">
        <v>55</v>
      </c>
      <c r="D148" t="s">
        <v>30</v>
      </c>
      <c r="E148" t="s">
        <v>19</v>
      </c>
      <c r="F148">
        <v>3</v>
      </c>
      <c r="G148">
        <v>1602.53</v>
      </c>
      <c r="H148">
        <v>4807.59</v>
      </c>
      <c r="I148" t="s">
        <v>47</v>
      </c>
    </row>
    <row r="149" spans="1:9">
      <c r="A149" t="s">
        <v>382</v>
      </c>
      <c r="B149" t="s">
        <v>194</v>
      </c>
      <c r="C149" t="s">
        <v>358</v>
      </c>
      <c r="D149" t="s">
        <v>30</v>
      </c>
      <c r="E149" t="s">
        <v>19</v>
      </c>
      <c r="F149">
        <v>5</v>
      </c>
      <c r="G149">
        <v>74.709999999999994</v>
      </c>
      <c r="H149">
        <v>373.55</v>
      </c>
      <c r="I149" t="s">
        <v>14</v>
      </c>
    </row>
    <row r="150" spans="1:9">
      <c r="A150" t="s">
        <v>383</v>
      </c>
      <c r="B150" t="s">
        <v>315</v>
      </c>
      <c r="C150" t="s">
        <v>17</v>
      </c>
      <c r="D150" t="s">
        <v>39</v>
      </c>
      <c r="E150" t="s">
        <v>40</v>
      </c>
      <c r="F150">
        <v>5</v>
      </c>
      <c r="G150">
        <v>445.94</v>
      </c>
      <c r="H150">
        <v>2229.6999999999998</v>
      </c>
      <c r="I150" t="s">
        <v>23</v>
      </c>
    </row>
    <row r="151" spans="1:9">
      <c r="A151" t="s">
        <v>384</v>
      </c>
      <c r="B151" t="s">
        <v>385</v>
      </c>
      <c r="C151" t="s">
        <v>386</v>
      </c>
      <c r="D151" t="s">
        <v>35</v>
      </c>
      <c r="E151" t="s">
        <v>13</v>
      </c>
      <c r="F151">
        <v>4</v>
      </c>
      <c r="G151">
        <v>1459.68</v>
      </c>
      <c r="H151">
        <v>5838.72</v>
      </c>
      <c r="I151" t="s">
        <v>31</v>
      </c>
    </row>
    <row r="152" spans="1:9">
      <c r="A152" t="s">
        <v>387</v>
      </c>
      <c r="B152" t="s">
        <v>388</v>
      </c>
      <c r="C152" t="s">
        <v>228</v>
      </c>
      <c r="D152" t="s">
        <v>39</v>
      </c>
      <c r="E152" t="s">
        <v>40</v>
      </c>
      <c r="F152">
        <v>1</v>
      </c>
      <c r="G152">
        <v>79.83</v>
      </c>
      <c r="H152">
        <v>79.83</v>
      </c>
      <c r="I152" t="s">
        <v>14</v>
      </c>
    </row>
    <row r="153" spans="1:9">
      <c r="A153" t="s">
        <v>389</v>
      </c>
      <c r="B153" t="s">
        <v>390</v>
      </c>
      <c r="C153" t="s">
        <v>316</v>
      </c>
      <c r="D153" t="s">
        <v>12</v>
      </c>
      <c r="E153" t="s">
        <v>13</v>
      </c>
      <c r="F153">
        <v>1</v>
      </c>
      <c r="G153">
        <v>181.16</v>
      </c>
      <c r="H153">
        <v>181.16</v>
      </c>
      <c r="I153" t="s">
        <v>47</v>
      </c>
    </row>
    <row r="154" spans="1:9">
      <c r="A154" t="s">
        <v>391</v>
      </c>
      <c r="B154" t="s">
        <v>200</v>
      </c>
      <c r="C154" t="s">
        <v>183</v>
      </c>
      <c r="D154" t="s">
        <v>35</v>
      </c>
      <c r="E154" t="s">
        <v>13</v>
      </c>
      <c r="F154">
        <v>5</v>
      </c>
      <c r="G154">
        <v>576.88</v>
      </c>
      <c r="H154">
        <v>2884.4</v>
      </c>
      <c r="I154" t="s">
        <v>47</v>
      </c>
    </row>
    <row r="155" spans="1:9">
      <c r="A155" t="s">
        <v>392</v>
      </c>
      <c r="B155" t="s">
        <v>393</v>
      </c>
      <c r="C155" t="s">
        <v>394</v>
      </c>
      <c r="D155" t="s">
        <v>59</v>
      </c>
      <c r="E155" t="s">
        <v>40</v>
      </c>
      <c r="F155">
        <v>1</v>
      </c>
      <c r="G155">
        <v>722.26</v>
      </c>
      <c r="H155">
        <v>722.26</v>
      </c>
      <c r="I155" t="s">
        <v>31</v>
      </c>
    </row>
    <row r="156" spans="1:9">
      <c r="A156" t="s">
        <v>395</v>
      </c>
      <c r="B156" t="s">
        <v>396</v>
      </c>
      <c r="C156" t="s">
        <v>340</v>
      </c>
      <c r="D156" t="s">
        <v>12</v>
      </c>
      <c r="E156" t="s">
        <v>13</v>
      </c>
      <c r="F156">
        <v>1</v>
      </c>
      <c r="G156">
        <v>1460.01</v>
      </c>
      <c r="H156">
        <v>1460.01</v>
      </c>
      <c r="I156" t="s">
        <v>47</v>
      </c>
    </row>
    <row r="157" spans="1:9">
      <c r="A157" t="s">
        <v>397</v>
      </c>
      <c r="B157" t="s">
        <v>77</v>
      </c>
      <c r="C157" t="s">
        <v>102</v>
      </c>
      <c r="D157" t="s">
        <v>59</v>
      </c>
      <c r="E157" t="s">
        <v>40</v>
      </c>
      <c r="F157">
        <v>5</v>
      </c>
      <c r="G157">
        <v>808.16</v>
      </c>
      <c r="H157">
        <v>4040.8</v>
      </c>
      <c r="I157" t="s">
        <v>23</v>
      </c>
    </row>
    <row r="158" spans="1:9">
      <c r="A158" t="s">
        <v>398</v>
      </c>
      <c r="B158" t="s">
        <v>399</v>
      </c>
      <c r="C158" t="s">
        <v>290</v>
      </c>
      <c r="D158" t="s">
        <v>51</v>
      </c>
      <c r="E158" t="s">
        <v>52</v>
      </c>
      <c r="F158">
        <v>5</v>
      </c>
      <c r="G158">
        <v>1158.5999999999999</v>
      </c>
      <c r="H158">
        <v>5793</v>
      </c>
      <c r="I158" t="s">
        <v>23</v>
      </c>
    </row>
    <row r="159" spans="1:9">
      <c r="A159" t="s">
        <v>400</v>
      </c>
      <c r="B159" t="s">
        <v>117</v>
      </c>
      <c r="C159" t="s">
        <v>102</v>
      </c>
      <c r="D159" t="s">
        <v>79</v>
      </c>
      <c r="E159" t="s">
        <v>52</v>
      </c>
      <c r="F159">
        <v>4</v>
      </c>
      <c r="G159">
        <v>1477.46</v>
      </c>
      <c r="H159">
        <v>5909.84</v>
      </c>
      <c r="I159" t="s">
        <v>31</v>
      </c>
    </row>
    <row r="160" spans="1:9">
      <c r="A160" t="s">
        <v>401</v>
      </c>
      <c r="B160" t="s">
        <v>402</v>
      </c>
      <c r="C160" t="s">
        <v>403</v>
      </c>
      <c r="D160" t="s">
        <v>30</v>
      </c>
      <c r="E160" t="s">
        <v>19</v>
      </c>
      <c r="F160">
        <v>5</v>
      </c>
      <c r="G160">
        <v>1557.93</v>
      </c>
      <c r="H160">
        <v>7789.65</v>
      </c>
      <c r="I160" t="s">
        <v>23</v>
      </c>
    </row>
    <row r="161" spans="1:9">
      <c r="A161" t="s">
        <v>404</v>
      </c>
      <c r="B161" t="s">
        <v>405</v>
      </c>
      <c r="C161" t="s">
        <v>403</v>
      </c>
      <c r="D161" t="s">
        <v>18</v>
      </c>
      <c r="E161" t="s">
        <v>19</v>
      </c>
      <c r="F161">
        <v>2</v>
      </c>
      <c r="G161">
        <v>1600.97</v>
      </c>
      <c r="H161">
        <v>3201.94</v>
      </c>
      <c r="I161" t="s">
        <v>31</v>
      </c>
    </row>
    <row r="162" spans="1:9">
      <c r="A162" t="s">
        <v>406</v>
      </c>
      <c r="B162" t="s">
        <v>223</v>
      </c>
      <c r="C162" t="s">
        <v>38</v>
      </c>
      <c r="D162" t="s">
        <v>110</v>
      </c>
      <c r="E162" t="s">
        <v>52</v>
      </c>
      <c r="F162">
        <v>3</v>
      </c>
      <c r="G162">
        <v>419.39</v>
      </c>
      <c r="H162">
        <v>1258.17</v>
      </c>
      <c r="I162" t="s">
        <v>23</v>
      </c>
    </row>
    <row r="163" spans="1:9">
      <c r="A163" t="s">
        <v>407</v>
      </c>
      <c r="B163" t="s">
        <v>331</v>
      </c>
      <c r="C163" t="s">
        <v>408</v>
      </c>
      <c r="D163" t="s">
        <v>51</v>
      </c>
      <c r="E163" t="s">
        <v>52</v>
      </c>
      <c r="F163">
        <v>4</v>
      </c>
      <c r="G163">
        <v>1377.69</v>
      </c>
      <c r="H163">
        <v>5510.76</v>
      </c>
      <c r="I163" t="s">
        <v>14</v>
      </c>
    </row>
    <row r="164" spans="1:9">
      <c r="A164" t="s">
        <v>409</v>
      </c>
      <c r="B164" t="s">
        <v>81</v>
      </c>
      <c r="C164" t="s">
        <v>11</v>
      </c>
      <c r="D164" t="s">
        <v>39</v>
      </c>
      <c r="E164" t="s">
        <v>40</v>
      </c>
      <c r="F164">
        <v>2</v>
      </c>
      <c r="G164">
        <v>1618.72</v>
      </c>
      <c r="H164">
        <v>3237.44</v>
      </c>
      <c r="I164" t="s">
        <v>47</v>
      </c>
    </row>
    <row r="165" spans="1:9">
      <c r="A165" t="s">
        <v>410</v>
      </c>
      <c r="B165" t="s">
        <v>339</v>
      </c>
      <c r="C165" t="s">
        <v>411</v>
      </c>
      <c r="D165" t="s">
        <v>30</v>
      </c>
      <c r="E165" t="s">
        <v>19</v>
      </c>
      <c r="F165">
        <v>3</v>
      </c>
      <c r="G165">
        <v>1988.7</v>
      </c>
      <c r="H165">
        <v>5966.1</v>
      </c>
      <c r="I165" t="s">
        <v>47</v>
      </c>
    </row>
    <row r="166" spans="1:9">
      <c r="A166" t="s">
        <v>412</v>
      </c>
      <c r="B166" t="s">
        <v>413</v>
      </c>
      <c r="C166" t="s">
        <v>414</v>
      </c>
      <c r="D166" t="s">
        <v>51</v>
      </c>
      <c r="E166" t="s">
        <v>52</v>
      </c>
      <c r="F166">
        <v>3</v>
      </c>
      <c r="G166">
        <v>1926.08</v>
      </c>
      <c r="H166">
        <v>5778.24</v>
      </c>
      <c r="I166" t="s">
        <v>47</v>
      </c>
    </row>
    <row r="167" spans="1:9">
      <c r="A167" t="s">
        <v>415</v>
      </c>
      <c r="B167" t="s">
        <v>416</v>
      </c>
      <c r="C167" t="s">
        <v>73</v>
      </c>
      <c r="D167" t="s">
        <v>51</v>
      </c>
      <c r="E167" t="s">
        <v>52</v>
      </c>
      <c r="F167">
        <v>3</v>
      </c>
      <c r="G167">
        <v>132.04</v>
      </c>
      <c r="H167">
        <v>396.12</v>
      </c>
      <c r="I167" t="s">
        <v>31</v>
      </c>
    </row>
    <row r="168" spans="1:9">
      <c r="A168" t="s">
        <v>417</v>
      </c>
      <c r="B168" t="s">
        <v>418</v>
      </c>
      <c r="C168" t="s">
        <v>371</v>
      </c>
      <c r="D168" t="s">
        <v>79</v>
      </c>
      <c r="E168" t="s">
        <v>52</v>
      </c>
      <c r="F168">
        <v>4</v>
      </c>
      <c r="G168">
        <v>841</v>
      </c>
      <c r="H168">
        <v>3364</v>
      </c>
      <c r="I168" t="s">
        <v>47</v>
      </c>
    </row>
    <row r="169" spans="1:9">
      <c r="A169" t="s">
        <v>419</v>
      </c>
      <c r="B169" t="s">
        <v>148</v>
      </c>
      <c r="C169" t="s">
        <v>143</v>
      </c>
      <c r="D169" t="s">
        <v>59</v>
      </c>
      <c r="E169" t="s">
        <v>40</v>
      </c>
      <c r="F169">
        <v>2</v>
      </c>
      <c r="G169">
        <v>1421.59</v>
      </c>
      <c r="H169">
        <v>2843.18</v>
      </c>
      <c r="I169" t="s">
        <v>47</v>
      </c>
    </row>
    <row r="170" spans="1:9">
      <c r="A170" t="s">
        <v>420</v>
      </c>
      <c r="B170" t="s">
        <v>37</v>
      </c>
      <c r="C170" t="s">
        <v>68</v>
      </c>
      <c r="D170" t="s">
        <v>30</v>
      </c>
      <c r="E170" t="s">
        <v>19</v>
      </c>
      <c r="F170">
        <v>1</v>
      </c>
      <c r="G170">
        <v>1971.6</v>
      </c>
      <c r="H170">
        <v>1971.6</v>
      </c>
      <c r="I170" t="s">
        <v>14</v>
      </c>
    </row>
    <row r="171" spans="1:9">
      <c r="A171" t="s">
        <v>421</v>
      </c>
      <c r="B171" t="s">
        <v>171</v>
      </c>
      <c r="C171" t="s">
        <v>422</v>
      </c>
      <c r="D171" t="s">
        <v>18</v>
      </c>
      <c r="E171" t="s">
        <v>19</v>
      </c>
      <c r="F171">
        <v>5</v>
      </c>
      <c r="G171">
        <v>768.99</v>
      </c>
      <c r="H171">
        <v>3844.95</v>
      </c>
      <c r="I171" t="s">
        <v>31</v>
      </c>
    </row>
    <row r="172" spans="1:9">
      <c r="A172" t="s">
        <v>423</v>
      </c>
      <c r="B172" t="s">
        <v>424</v>
      </c>
      <c r="C172" t="s">
        <v>99</v>
      </c>
      <c r="D172" t="s">
        <v>59</v>
      </c>
      <c r="E172" t="s">
        <v>40</v>
      </c>
      <c r="F172">
        <v>2</v>
      </c>
      <c r="G172">
        <v>724.75</v>
      </c>
      <c r="H172">
        <v>1449.5</v>
      </c>
      <c r="I172" t="s">
        <v>47</v>
      </c>
    </row>
    <row r="173" spans="1:9">
      <c r="A173" t="s">
        <v>425</v>
      </c>
      <c r="B173" t="s">
        <v>426</v>
      </c>
      <c r="C173" t="s">
        <v>353</v>
      </c>
      <c r="D173" t="s">
        <v>110</v>
      </c>
      <c r="E173" t="s">
        <v>52</v>
      </c>
      <c r="F173">
        <v>1</v>
      </c>
      <c r="G173">
        <v>1123.8599999999999</v>
      </c>
      <c r="H173">
        <v>1123.8599999999999</v>
      </c>
      <c r="I173" t="s">
        <v>23</v>
      </c>
    </row>
    <row r="174" spans="1:9">
      <c r="A174" t="s">
        <v>427</v>
      </c>
      <c r="B174" t="s">
        <v>428</v>
      </c>
      <c r="C174" t="s">
        <v>429</v>
      </c>
      <c r="D174" t="s">
        <v>35</v>
      </c>
      <c r="E174" t="s">
        <v>13</v>
      </c>
      <c r="F174">
        <v>1</v>
      </c>
      <c r="G174">
        <v>1389.26</v>
      </c>
      <c r="H174">
        <v>1389.26</v>
      </c>
      <c r="I174" t="s">
        <v>47</v>
      </c>
    </row>
    <row r="175" spans="1:9">
      <c r="A175" t="s">
        <v>430</v>
      </c>
      <c r="B175" t="s">
        <v>431</v>
      </c>
      <c r="C175" t="s">
        <v>345</v>
      </c>
      <c r="D175" t="s">
        <v>39</v>
      </c>
      <c r="E175" t="s">
        <v>40</v>
      </c>
      <c r="F175">
        <v>2</v>
      </c>
      <c r="G175">
        <v>176.37</v>
      </c>
      <c r="H175">
        <v>352.74</v>
      </c>
      <c r="I175" t="s">
        <v>14</v>
      </c>
    </row>
    <row r="176" spans="1:9">
      <c r="A176" t="s">
        <v>432</v>
      </c>
      <c r="B176" t="s">
        <v>433</v>
      </c>
      <c r="C176" t="s">
        <v>378</v>
      </c>
      <c r="D176" t="s">
        <v>18</v>
      </c>
      <c r="E176" t="s">
        <v>19</v>
      </c>
      <c r="F176">
        <v>5</v>
      </c>
      <c r="G176">
        <v>649.88</v>
      </c>
      <c r="H176">
        <v>3249.4</v>
      </c>
      <c r="I176" t="s">
        <v>47</v>
      </c>
    </row>
    <row r="177" spans="1:9">
      <c r="A177" t="s">
        <v>434</v>
      </c>
      <c r="B177" t="s">
        <v>89</v>
      </c>
      <c r="C177" t="s">
        <v>192</v>
      </c>
      <c r="D177" t="s">
        <v>30</v>
      </c>
      <c r="E177" t="s">
        <v>19</v>
      </c>
      <c r="F177">
        <v>3</v>
      </c>
      <c r="G177">
        <v>1511.45</v>
      </c>
      <c r="H177">
        <v>4534.3500000000004</v>
      </c>
      <c r="I177" t="s">
        <v>31</v>
      </c>
    </row>
    <row r="178" spans="1:9">
      <c r="A178" t="s">
        <v>435</v>
      </c>
      <c r="B178" t="s">
        <v>436</v>
      </c>
      <c r="C178" t="s">
        <v>201</v>
      </c>
      <c r="D178" t="s">
        <v>39</v>
      </c>
      <c r="E178" t="s">
        <v>40</v>
      </c>
      <c r="F178">
        <v>3</v>
      </c>
      <c r="G178">
        <v>553.75</v>
      </c>
      <c r="H178">
        <v>1661.25</v>
      </c>
      <c r="I178" t="s">
        <v>31</v>
      </c>
    </row>
    <row r="179" spans="1:9">
      <c r="A179" t="s">
        <v>437</v>
      </c>
      <c r="B179" t="s">
        <v>438</v>
      </c>
      <c r="C179" t="s">
        <v>22</v>
      </c>
      <c r="D179" t="s">
        <v>12</v>
      </c>
      <c r="E179" t="s">
        <v>13</v>
      </c>
      <c r="F179">
        <v>2</v>
      </c>
      <c r="G179">
        <v>794.06</v>
      </c>
      <c r="H179">
        <v>1588.12</v>
      </c>
      <c r="I179" t="s">
        <v>47</v>
      </c>
    </row>
    <row r="180" spans="1:9">
      <c r="A180" t="s">
        <v>439</v>
      </c>
      <c r="B180" t="s">
        <v>440</v>
      </c>
      <c r="C180" t="s">
        <v>46</v>
      </c>
      <c r="D180" t="s">
        <v>59</v>
      </c>
      <c r="E180" t="s">
        <v>40</v>
      </c>
      <c r="F180">
        <v>2</v>
      </c>
      <c r="G180">
        <v>1710.48</v>
      </c>
      <c r="H180">
        <v>3420.96</v>
      </c>
      <c r="I180" t="s">
        <v>14</v>
      </c>
    </row>
    <row r="181" spans="1:9">
      <c r="A181" t="s">
        <v>441</v>
      </c>
      <c r="B181" t="s">
        <v>253</v>
      </c>
      <c r="C181" t="s">
        <v>22</v>
      </c>
      <c r="D181" t="s">
        <v>39</v>
      </c>
      <c r="E181" t="s">
        <v>40</v>
      </c>
      <c r="F181">
        <v>4</v>
      </c>
      <c r="G181">
        <v>1583.73</v>
      </c>
      <c r="H181">
        <v>6334.92</v>
      </c>
      <c r="I181" t="s">
        <v>14</v>
      </c>
    </row>
    <row r="182" spans="1:9">
      <c r="A182" t="s">
        <v>442</v>
      </c>
      <c r="B182" t="s">
        <v>443</v>
      </c>
      <c r="C182" t="s">
        <v>287</v>
      </c>
      <c r="D182" t="s">
        <v>79</v>
      </c>
      <c r="E182" t="s">
        <v>52</v>
      </c>
      <c r="F182">
        <v>5</v>
      </c>
      <c r="G182">
        <v>656.38</v>
      </c>
      <c r="H182">
        <v>3281.9</v>
      </c>
      <c r="I182" t="s">
        <v>23</v>
      </c>
    </row>
    <row r="183" spans="1:9">
      <c r="A183" t="s">
        <v>444</v>
      </c>
      <c r="B183" t="s">
        <v>388</v>
      </c>
      <c r="C183" t="s">
        <v>102</v>
      </c>
      <c r="D183" t="s">
        <v>35</v>
      </c>
      <c r="E183" t="s">
        <v>13</v>
      </c>
      <c r="F183">
        <v>4</v>
      </c>
      <c r="G183">
        <v>870.33</v>
      </c>
      <c r="H183">
        <v>3481.32</v>
      </c>
      <c r="I183" t="s">
        <v>14</v>
      </c>
    </row>
    <row r="184" spans="1:9">
      <c r="A184" t="s">
        <v>445</v>
      </c>
      <c r="B184" t="s">
        <v>446</v>
      </c>
      <c r="C184" t="s">
        <v>411</v>
      </c>
      <c r="D184" t="s">
        <v>59</v>
      </c>
      <c r="E184" t="s">
        <v>40</v>
      </c>
      <c r="F184">
        <v>5</v>
      </c>
      <c r="G184">
        <v>197.34</v>
      </c>
      <c r="H184">
        <v>986.7</v>
      </c>
      <c r="I184" t="s">
        <v>31</v>
      </c>
    </row>
    <row r="185" spans="1:9">
      <c r="A185" t="s">
        <v>447</v>
      </c>
      <c r="B185" t="s">
        <v>448</v>
      </c>
      <c r="C185" t="s">
        <v>449</v>
      </c>
      <c r="D185" t="s">
        <v>18</v>
      </c>
      <c r="E185" t="s">
        <v>19</v>
      </c>
      <c r="F185">
        <v>4</v>
      </c>
      <c r="G185">
        <v>508.69</v>
      </c>
      <c r="H185">
        <v>2034.76</v>
      </c>
      <c r="I185" t="s">
        <v>31</v>
      </c>
    </row>
    <row r="186" spans="1:9">
      <c r="A186" t="s">
        <v>450</v>
      </c>
      <c r="B186" t="s">
        <v>312</v>
      </c>
      <c r="C186" t="s">
        <v>22</v>
      </c>
      <c r="D186" t="s">
        <v>51</v>
      </c>
      <c r="E186" t="s">
        <v>52</v>
      </c>
      <c r="F186">
        <v>1</v>
      </c>
      <c r="G186">
        <v>1148.4000000000001</v>
      </c>
      <c r="H186">
        <v>1148.4000000000001</v>
      </c>
      <c r="I186" t="s">
        <v>31</v>
      </c>
    </row>
    <row r="187" spans="1:9">
      <c r="A187" t="s">
        <v>451</v>
      </c>
      <c r="B187" t="s">
        <v>452</v>
      </c>
      <c r="C187" t="s">
        <v>345</v>
      </c>
      <c r="D187" t="s">
        <v>18</v>
      </c>
      <c r="E187" t="s">
        <v>19</v>
      </c>
      <c r="F187">
        <v>4</v>
      </c>
      <c r="G187">
        <v>1371.41</v>
      </c>
      <c r="H187">
        <v>5485.64</v>
      </c>
      <c r="I187" t="s">
        <v>47</v>
      </c>
    </row>
    <row r="188" spans="1:9">
      <c r="A188" t="s">
        <v>453</v>
      </c>
      <c r="B188" t="s">
        <v>174</v>
      </c>
      <c r="C188" t="s">
        <v>365</v>
      </c>
      <c r="D188" t="s">
        <v>59</v>
      </c>
      <c r="E188" t="s">
        <v>40</v>
      </c>
      <c r="F188">
        <v>1</v>
      </c>
      <c r="G188">
        <v>1455.45</v>
      </c>
      <c r="H188">
        <v>1455.45</v>
      </c>
      <c r="I188" t="s">
        <v>47</v>
      </c>
    </row>
    <row r="189" spans="1:9">
      <c r="A189" t="s">
        <v>454</v>
      </c>
      <c r="B189" t="s">
        <v>455</v>
      </c>
      <c r="C189" t="s">
        <v>456</v>
      </c>
      <c r="D189" t="s">
        <v>12</v>
      </c>
      <c r="E189" t="s">
        <v>13</v>
      </c>
      <c r="F189">
        <v>5</v>
      </c>
      <c r="G189">
        <v>1444.83</v>
      </c>
      <c r="H189">
        <v>7224.15</v>
      </c>
      <c r="I189" t="s">
        <v>14</v>
      </c>
    </row>
    <row r="190" spans="1:9">
      <c r="A190" t="s">
        <v>457</v>
      </c>
      <c r="B190" t="s">
        <v>458</v>
      </c>
      <c r="C190" t="s">
        <v>316</v>
      </c>
      <c r="D190" t="s">
        <v>35</v>
      </c>
      <c r="E190" t="s">
        <v>13</v>
      </c>
      <c r="F190">
        <v>1</v>
      </c>
      <c r="G190">
        <v>1344.99</v>
      </c>
      <c r="H190">
        <v>1344.99</v>
      </c>
      <c r="I190" t="s">
        <v>47</v>
      </c>
    </row>
    <row r="191" spans="1:9">
      <c r="A191" t="s">
        <v>459</v>
      </c>
      <c r="B191" t="s">
        <v>460</v>
      </c>
      <c r="C191" t="s">
        <v>456</v>
      </c>
      <c r="D191" t="s">
        <v>79</v>
      </c>
      <c r="E191" t="s">
        <v>52</v>
      </c>
      <c r="F191">
        <v>3</v>
      </c>
      <c r="G191">
        <v>540.01</v>
      </c>
      <c r="H191">
        <v>1620.03</v>
      </c>
      <c r="I191" t="s">
        <v>31</v>
      </c>
    </row>
    <row r="192" spans="1:9">
      <c r="A192" t="s">
        <v>461</v>
      </c>
      <c r="B192" t="s">
        <v>462</v>
      </c>
      <c r="C192" t="s">
        <v>394</v>
      </c>
      <c r="D192" t="s">
        <v>79</v>
      </c>
      <c r="E192" t="s">
        <v>52</v>
      </c>
      <c r="F192">
        <v>3</v>
      </c>
      <c r="G192">
        <v>624.95000000000005</v>
      </c>
      <c r="H192">
        <v>1874.85</v>
      </c>
      <c r="I192" t="s">
        <v>23</v>
      </c>
    </row>
    <row r="193" spans="1:9">
      <c r="A193" t="s">
        <v>463</v>
      </c>
      <c r="B193" t="s">
        <v>464</v>
      </c>
      <c r="C193" t="s">
        <v>273</v>
      </c>
      <c r="D193" t="s">
        <v>35</v>
      </c>
      <c r="E193" t="s">
        <v>13</v>
      </c>
      <c r="F193">
        <v>3</v>
      </c>
      <c r="G193">
        <v>202.5</v>
      </c>
      <c r="H193">
        <v>607.5</v>
      </c>
      <c r="I193" t="s">
        <v>31</v>
      </c>
    </row>
    <row r="194" spans="1:9">
      <c r="A194" t="s">
        <v>465</v>
      </c>
      <c r="B194" t="s">
        <v>466</v>
      </c>
      <c r="C194" t="s">
        <v>467</v>
      </c>
      <c r="D194" t="s">
        <v>51</v>
      </c>
      <c r="E194" t="s">
        <v>52</v>
      </c>
      <c r="F194">
        <v>2</v>
      </c>
      <c r="G194">
        <v>648.9</v>
      </c>
      <c r="H194">
        <v>1297.8</v>
      </c>
      <c r="I194" t="s">
        <v>14</v>
      </c>
    </row>
    <row r="195" spans="1:9">
      <c r="A195" t="s">
        <v>468</v>
      </c>
      <c r="B195" t="s">
        <v>339</v>
      </c>
      <c r="C195" t="s">
        <v>55</v>
      </c>
      <c r="D195" t="s">
        <v>39</v>
      </c>
      <c r="E195" t="s">
        <v>40</v>
      </c>
      <c r="F195">
        <v>2</v>
      </c>
      <c r="G195">
        <v>233.2</v>
      </c>
      <c r="H195">
        <v>466.4</v>
      </c>
      <c r="I195" t="s">
        <v>31</v>
      </c>
    </row>
    <row r="196" spans="1:9">
      <c r="A196" t="s">
        <v>469</v>
      </c>
      <c r="B196" t="s">
        <v>470</v>
      </c>
      <c r="C196" t="s">
        <v>105</v>
      </c>
      <c r="D196" t="s">
        <v>51</v>
      </c>
      <c r="E196" t="s">
        <v>52</v>
      </c>
      <c r="F196">
        <v>1</v>
      </c>
      <c r="G196">
        <v>1175.98</v>
      </c>
      <c r="H196">
        <v>1175.98</v>
      </c>
      <c r="I196" t="s">
        <v>23</v>
      </c>
    </row>
    <row r="197" spans="1:9">
      <c r="A197" t="s">
        <v>471</v>
      </c>
      <c r="B197" t="s">
        <v>472</v>
      </c>
      <c r="C197" t="s">
        <v>378</v>
      </c>
      <c r="D197" t="s">
        <v>18</v>
      </c>
      <c r="E197" t="s">
        <v>19</v>
      </c>
      <c r="F197">
        <v>2</v>
      </c>
      <c r="G197">
        <v>669.64</v>
      </c>
      <c r="H197">
        <v>1339.28</v>
      </c>
      <c r="I197" t="s">
        <v>23</v>
      </c>
    </row>
    <row r="198" spans="1:9">
      <c r="A198" t="s">
        <v>473</v>
      </c>
      <c r="B198" t="s">
        <v>474</v>
      </c>
      <c r="C198" t="s">
        <v>208</v>
      </c>
      <c r="D198" t="s">
        <v>51</v>
      </c>
      <c r="E198" t="s">
        <v>52</v>
      </c>
      <c r="F198">
        <v>2</v>
      </c>
      <c r="G198">
        <v>1225.8</v>
      </c>
      <c r="H198">
        <v>2451.6</v>
      </c>
      <c r="I198" t="s">
        <v>47</v>
      </c>
    </row>
    <row r="199" spans="1:9">
      <c r="A199" t="s">
        <v>475</v>
      </c>
      <c r="B199" t="s">
        <v>216</v>
      </c>
      <c r="C199" t="s">
        <v>290</v>
      </c>
      <c r="D199" t="s">
        <v>18</v>
      </c>
      <c r="E199" t="s">
        <v>19</v>
      </c>
      <c r="F199">
        <v>4</v>
      </c>
      <c r="G199">
        <v>471.29</v>
      </c>
      <c r="H199">
        <v>1885.16</v>
      </c>
      <c r="I199" t="s">
        <v>47</v>
      </c>
    </row>
    <row r="200" spans="1:9">
      <c r="A200" t="s">
        <v>476</v>
      </c>
      <c r="B200" t="s">
        <v>49</v>
      </c>
      <c r="C200" t="s">
        <v>408</v>
      </c>
      <c r="D200" t="s">
        <v>12</v>
      </c>
      <c r="E200" t="s">
        <v>13</v>
      </c>
      <c r="F200">
        <v>3</v>
      </c>
      <c r="G200">
        <v>107.67</v>
      </c>
      <c r="H200">
        <v>323.01</v>
      </c>
      <c r="I200" t="s">
        <v>14</v>
      </c>
    </row>
    <row r="201" spans="1:9">
      <c r="A201" t="s">
        <v>477</v>
      </c>
      <c r="B201" t="s">
        <v>472</v>
      </c>
      <c r="C201" t="s">
        <v>143</v>
      </c>
      <c r="D201" t="s">
        <v>79</v>
      </c>
      <c r="E201" t="s">
        <v>52</v>
      </c>
      <c r="F201">
        <v>5</v>
      </c>
      <c r="G201">
        <v>1373.03</v>
      </c>
      <c r="H201">
        <v>6865.15</v>
      </c>
      <c r="I201" t="s">
        <v>14</v>
      </c>
    </row>
    <row r="202" spans="1:9">
      <c r="A202" t="s">
        <v>478</v>
      </c>
      <c r="B202" t="s">
        <v>479</v>
      </c>
      <c r="C202" t="s">
        <v>480</v>
      </c>
      <c r="D202" t="s">
        <v>59</v>
      </c>
      <c r="E202" t="s">
        <v>40</v>
      </c>
      <c r="F202">
        <v>1</v>
      </c>
      <c r="G202">
        <v>1635.82</v>
      </c>
      <c r="H202">
        <v>1635.82</v>
      </c>
      <c r="I202" t="s">
        <v>47</v>
      </c>
    </row>
    <row r="203" spans="1:9">
      <c r="A203" t="s">
        <v>481</v>
      </c>
      <c r="B203" t="s">
        <v>482</v>
      </c>
      <c r="C203" t="s">
        <v>228</v>
      </c>
      <c r="D203" t="s">
        <v>12</v>
      </c>
      <c r="E203" t="s">
        <v>13</v>
      </c>
      <c r="F203">
        <v>4</v>
      </c>
      <c r="G203">
        <v>427.64</v>
      </c>
      <c r="H203">
        <v>1710.56</v>
      </c>
      <c r="I203" t="s">
        <v>14</v>
      </c>
    </row>
    <row r="204" spans="1:9">
      <c r="A204" t="s">
        <v>483</v>
      </c>
      <c r="B204" t="s">
        <v>370</v>
      </c>
      <c r="C204" t="s">
        <v>386</v>
      </c>
      <c r="D204" t="s">
        <v>79</v>
      </c>
      <c r="E204" t="s">
        <v>52</v>
      </c>
      <c r="F204">
        <v>2</v>
      </c>
      <c r="G204">
        <v>177.83</v>
      </c>
      <c r="H204">
        <v>355.66</v>
      </c>
      <c r="I204" t="s">
        <v>14</v>
      </c>
    </row>
    <row r="205" spans="1:9">
      <c r="A205" t="s">
        <v>484</v>
      </c>
      <c r="B205" t="s">
        <v>485</v>
      </c>
      <c r="C205" t="s">
        <v>308</v>
      </c>
      <c r="D205" t="s">
        <v>110</v>
      </c>
      <c r="E205" t="s">
        <v>52</v>
      </c>
      <c r="F205">
        <v>3</v>
      </c>
      <c r="G205">
        <v>1511.58</v>
      </c>
      <c r="H205">
        <v>4534.74</v>
      </c>
      <c r="I205" t="s">
        <v>14</v>
      </c>
    </row>
    <row r="206" spans="1:9">
      <c r="A206" t="s">
        <v>486</v>
      </c>
      <c r="B206" t="s">
        <v>487</v>
      </c>
      <c r="C206" t="s">
        <v>156</v>
      </c>
      <c r="D206" t="s">
        <v>35</v>
      </c>
      <c r="E206" t="s">
        <v>13</v>
      </c>
      <c r="F206">
        <v>1</v>
      </c>
      <c r="G206">
        <v>1706.15</v>
      </c>
      <c r="H206">
        <v>1706.15</v>
      </c>
      <c r="I206" t="s">
        <v>31</v>
      </c>
    </row>
    <row r="207" spans="1:9">
      <c r="A207" t="s">
        <v>488</v>
      </c>
      <c r="B207" t="s">
        <v>489</v>
      </c>
      <c r="C207" t="s">
        <v>316</v>
      </c>
      <c r="D207" t="s">
        <v>79</v>
      </c>
      <c r="E207" t="s">
        <v>52</v>
      </c>
      <c r="F207">
        <v>2</v>
      </c>
      <c r="G207">
        <v>1208.01</v>
      </c>
      <c r="H207">
        <v>2416.02</v>
      </c>
      <c r="I207" t="s">
        <v>31</v>
      </c>
    </row>
    <row r="208" spans="1:9">
      <c r="A208" t="s">
        <v>490</v>
      </c>
      <c r="B208" t="s">
        <v>491</v>
      </c>
      <c r="C208" t="s">
        <v>43</v>
      </c>
      <c r="D208" t="s">
        <v>30</v>
      </c>
      <c r="E208" t="s">
        <v>19</v>
      </c>
      <c r="F208">
        <v>1</v>
      </c>
      <c r="G208">
        <v>1489.6</v>
      </c>
      <c r="H208">
        <v>1489.6</v>
      </c>
      <c r="I208" t="s">
        <v>23</v>
      </c>
    </row>
    <row r="209" spans="1:9">
      <c r="A209" t="s">
        <v>492</v>
      </c>
      <c r="B209" t="s">
        <v>493</v>
      </c>
      <c r="C209" t="s">
        <v>494</v>
      </c>
      <c r="D209" t="s">
        <v>79</v>
      </c>
      <c r="E209" t="s">
        <v>52</v>
      </c>
      <c r="F209">
        <v>5</v>
      </c>
      <c r="G209">
        <v>384.23</v>
      </c>
      <c r="H209">
        <v>1921.15</v>
      </c>
      <c r="I209" t="s">
        <v>14</v>
      </c>
    </row>
    <row r="210" spans="1:9">
      <c r="A210" t="s">
        <v>495</v>
      </c>
      <c r="B210" t="s">
        <v>327</v>
      </c>
      <c r="C210" t="s">
        <v>496</v>
      </c>
      <c r="D210" t="s">
        <v>51</v>
      </c>
      <c r="E210" t="s">
        <v>52</v>
      </c>
      <c r="F210">
        <v>5</v>
      </c>
      <c r="G210">
        <v>1832.36</v>
      </c>
      <c r="H210">
        <v>9161.7999999999993</v>
      </c>
      <c r="I210" t="s">
        <v>23</v>
      </c>
    </row>
    <row r="211" spans="1:9">
      <c r="A211" t="s">
        <v>497</v>
      </c>
      <c r="B211" t="s">
        <v>448</v>
      </c>
      <c r="C211" t="s">
        <v>498</v>
      </c>
      <c r="D211" t="s">
        <v>79</v>
      </c>
      <c r="E211" t="s">
        <v>52</v>
      </c>
      <c r="F211">
        <v>5</v>
      </c>
      <c r="G211">
        <v>935.53</v>
      </c>
      <c r="H211">
        <v>4677.6499999999996</v>
      </c>
      <c r="I211" t="s">
        <v>31</v>
      </c>
    </row>
    <row r="212" spans="1:9">
      <c r="A212" t="s">
        <v>499</v>
      </c>
      <c r="B212" t="s">
        <v>142</v>
      </c>
      <c r="C212" t="s">
        <v>156</v>
      </c>
      <c r="D212" t="s">
        <v>39</v>
      </c>
      <c r="E212" t="s">
        <v>40</v>
      </c>
      <c r="F212">
        <v>3</v>
      </c>
      <c r="G212">
        <v>1231.1300000000001</v>
      </c>
      <c r="H212">
        <v>3693.39</v>
      </c>
      <c r="I212" t="s">
        <v>47</v>
      </c>
    </row>
    <row r="213" spans="1:9">
      <c r="A213" t="s">
        <v>500</v>
      </c>
      <c r="B213" t="s">
        <v>54</v>
      </c>
      <c r="C213" t="s">
        <v>265</v>
      </c>
      <c r="D213" t="s">
        <v>39</v>
      </c>
      <c r="E213" t="s">
        <v>40</v>
      </c>
      <c r="F213">
        <v>5</v>
      </c>
      <c r="G213">
        <v>1826.4</v>
      </c>
      <c r="H213">
        <v>9132</v>
      </c>
      <c r="I213" t="s">
        <v>47</v>
      </c>
    </row>
    <row r="214" spans="1:9">
      <c r="A214" t="s">
        <v>501</v>
      </c>
      <c r="B214" t="s">
        <v>502</v>
      </c>
      <c r="C214" t="s">
        <v>246</v>
      </c>
      <c r="D214" t="s">
        <v>12</v>
      </c>
      <c r="E214" t="s">
        <v>13</v>
      </c>
      <c r="F214">
        <v>2</v>
      </c>
      <c r="G214">
        <v>127.1</v>
      </c>
      <c r="H214">
        <v>254.2</v>
      </c>
      <c r="I214" t="s">
        <v>31</v>
      </c>
    </row>
    <row r="215" spans="1:9">
      <c r="A215" t="s">
        <v>503</v>
      </c>
      <c r="B215" t="s">
        <v>104</v>
      </c>
      <c r="C215" t="s">
        <v>135</v>
      </c>
      <c r="D215" t="s">
        <v>18</v>
      </c>
      <c r="E215" t="s">
        <v>19</v>
      </c>
      <c r="F215">
        <v>3</v>
      </c>
      <c r="G215">
        <v>987.53</v>
      </c>
      <c r="H215">
        <v>2962.59</v>
      </c>
      <c r="I215" t="s">
        <v>23</v>
      </c>
    </row>
    <row r="216" spans="1:9">
      <c r="A216" t="s">
        <v>504</v>
      </c>
      <c r="B216" t="s">
        <v>505</v>
      </c>
      <c r="C216" t="s">
        <v>192</v>
      </c>
      <c r="D216" t="s">
        <v>59</v>
      </c>
      <c r="E216" t="s">
        <v>40</v>
      </c>
      <c r="F216">
        <v>4</v>
      </c>
      <c r="G216">
        <v>777.16</v>
      </c>
      <c r="H216">
        <v>3108.64</v>
      </c>
      <c r="I216" t="s">
        <v>14</v>
      </c>
    </row>
    <row r="217" spans="1:9">
      <c r="A217" t="s">
        <v>506</v>
      </c>
      <c r="B217" t="s">
        <v>176</v>
      </c>
      <c r="C217" t="s">
        <v>96</v>
      </c>
      <c r="D217" t="s">
        <v>110</v>
      </c>
      <c r="E217" t="s">
        <v>52</v>
      </c>
      <c r="F217">
        <v>4</v>
      </c>
      <c r="G217">
        <v>1410.25</v>
      </c>
      <c r="H217">
        <v>5641</v>
      </c>
      <c r="I217" t="s">
        <v>14</v>
      </c>
    </row>
    <row r="218" spans="1:9">
      <c r="A218" t="s">
        <v>507</v>
      </c>
      <c r="B218" t="s">
        <v>98</v>
      </c>
      <c r="C218" t="s">
        <v>378</v>
      </c>
      <c r="D218" t="s">
        <v>79</v>
      </c>
      <c r="E218" t="s">
        <v>52</v>
      </c>
      <c r="F218">
        <v>2</v>
      </c>
      <c r="G218">
        <v>1510.44</v>
      </c>
      <c r="H218">
        <v>3020.88</v>
      </c>
      <c r="I218" t="s">
        <v>23</v>
      </c>
    </row>
    <row r="219" spans="1:9">
      <c r="A219" t="s">
        <v>508</v>
      </c>
      <c r="B219" t="s">
        <v>509</v>
      </c>
      <c r="C219" t="s">
        <v>386</v>
      </c>
      <c r="D219" t="s">
        <v>12</v>
      </c>
      <c r="E219" t="s">
        <v>13</v>
      </c>
      <c r="F219">
        <v>5</v>
      </c>
      <c r="G219">
        <v>1790.35</v>
      </c>
      <c r="H219">
        <v>8951.75</v>
      </c>
      <c r="I219" t="s">
        <v>23</v>
      </c>
    </row>
    <row r="220" spans="1:9">
      <c r="A220" t="s">
        <v>510</v>
      </c>
      <c r="B220" t="s">
        <v>511</v>
      </c>
      <c r="C220" t="s">
        <v>278</v>
      </c>
      <c r="D220" t="s">
        <v>30</v>
      </c>
      <c r="E220" t="s">
        <v>19</v>
      </c>
      <c r="F220">
        <v>3</v>
      </c>
      <c r="G220">
        <v>847.35</v>
      </c>
      <c r="H220">
        <v>2542.0500000000002</v>
      </c>
      <c r="I220" t="s">
        <v>23</v>
      </c>
    </row>
    <row r="221" spans="1:9">
      <c r="A221" t="s">
        <v>512</v>
      </c>
      <c r="B221" t="s">
        <v>513</v>
      </c>
      <c r="C221" t="s">
        <v>118</v>
      </c>
      <c r="D221" t="s">
        <v>110</v>
      </c>
      <c r="E221" t="s">
        <v>52</v>
      </c>
      <c r="F221">
        <v>4</v>
      </c>
      <c r="G221">
        <v>1514.17</v>
      </c>
      <c r="H221">
        <v>6056.68</v>
      </c>
      <c r="I221" t="s">
        <v>14</v>
      </c>
    </row>
    <row r="222" spans="1:9">
      <c r="A222" t="s">
        <v>514</v>
      </c>
      <c r="B222" t="s">
        <v>515</v>
      </c>
      <c r="C222" t="s">
        <v>153</v>
      </c>
      <c r="D222" t="s">
        <v>18</v>
      </c>
      <c r="E222" t="s">
        <v>19</v>
      </c>
      <c r="F222">
        <v>2</v>
      </c>
      <c r="G222">
        <v>557.04999999999995</v>
      </c>
      <c r="H222">
        <v>1114.0999999999999</v>
      </c>
      <c r="I222" t="s">
        <v>31</v>
      </c>
    </row>
    <row r="223" spans="1:9">
      <c r="A223" t="s">
        <v>516</v>
      </c>
      <c r="B223" t="s">
        <v>446</v>
      </c>
      <c r="C223" t="s">
        <v>238</v>
      </c>
      <c r="D223" t="s">
        <v>35</v>
      </c>
      <c r="E223" t="s">
        <v>13</v>
      </c>
      <c r="F223">
        <v>3</v>
      </c>
      <c r="G223">
        <v>233.69</v>
      </c>
      <c r="H223">
        <v>701.07</v>
      </c>
      <c r="I223" t="s">
        <v>14</v>
      </c>
    </row>
    <row r="224" spans="1:9">
      <c r="A224" t="s">
        <v>517</v>
      </c>
      <c r="B224" t="s">
        <v>321</v>
      </c>
      <c r="C224" t="s">
        <v>169</v>
      </c>
      <c r="D224" t="s">
        <v>12</v>
      </c>
      <c r="E224" t="s">
        <v>13</v>
      </c>
      <c r="F224">
        <v>2</v>
      </c>
      <c r="G224">
        <v>1448.25</v>
      </c>
      <c r="H224">
        <v>2896.5</v>
      </c>
      <c r="I224" t="s">
        <v>14</v>
      </c>
    </row>
    <row r="225" spans="1:9">
      <c r="A225" t="s">
        <v>518</v>
      </c>
      <c r="B225" t="s">
        <v>200</v>
      </c>
      <c r="C225" t="s">
        <v>368</v>
      </c>
      <c r="D225" t="s">
        <v>79</v>
      </c>
      <c r="E225" t="s">
        <v>52</v>
      </c>
      <c r="F225">
        <v>1</v>
      </c>
      <c r="G225">
        <v>311.02</v>
      </c>
      <c r="H225">
        <v>311.02</v>
      </c>
      <c r="I225" t="s">
        <v>47</v>
      </c>
    </row>
    <row r="226" spans="1:9">
      <c r="A226" t="s">
        <v>519</v>
      </c>
      <c r="B226" t="s">
        <v>367</v>
      </c>
      <c r="C226" t="s">
        <v>90</v>
      </c>
      <c r="D226" t="s">
        <v>18</v>
      </c>
      <c r="E226" t="s">
        <v>19</v>
      </c>
      <c r="F226">
        <v>5</v>
      </c>
      <c r="G226">
        <v>1635.13</v>
      </c>
      <c r="H226">
        <v>8175.65</v>
      </c>
      <c r="I226" t="s">
        <v>14</v>
      </c>
    </row>
    <row r="227" spans="1:9">
      <c r="A227" t="s">
        <v>520</v>
      </c>
      <c r="B227" t="s">
        <v>352</v>
      </c>
      <c r="C227" t="s">
        <v>449</v>
      </c>
      <c r="D227" t="s">
        <v>39</v>
      </c>
      <c r="E227" t="s">
        <v>40</v>
      </c>
      <c r="F227">
        <v>1</v>
      </c>
      <c r="G227">
        <v>1451.19</v>
      </c>
      <c r="H227">
        <v>1451.19</v>
      </c>
      <c r="I227" t="s">
        <v>47</v>
      </c>
    </row>
    <row r="228" spans="1:9">
      <c r="A228" t="s">
        <v>521</v>
      </c>
      <c r="B228" t="s">
        <v>522</v>
      </c>
      <c r="C228" t="s">
        <v>82</v>
      </c>
      <c r="D228" t="s">
        <v>79</v>
      </c>
      <c r="E228" t="s">
        <v>52</v>
      </c>
      <c r="F228">
        <v>4</v>
      </c>
      <c r="G228">
        <v>1818.12</v>
      </c>
      <c r="H228">
        <v>7272.48</v>
      </c>
      <c r="I228" t="s">
        <v>14</v>
      </c>
    </row>
    <row r="229" spans="1:9">
      <c r="A229" t="s">
        <v>523</v>
      </c>
      <c r="B229" t="s">
        <v>524</v>
      </c>
      <c r="C229" t="s">
        <v>166</v>
      </c>
      <c r="D229" t="s">
        <v>35</v>
      </c>
      <c r="E229" t="s">
        <v>13</v>
      </c>
      <c r="F229">
        <v>1</v>
      </c>
      <c r="G229">
        <v>345.18</v>
      </c>
      <c r="H229">
        <v>345.18</v>
      </c>
      <c r="I229" t="s">
        <v>47</v>
      </c>
    </row>
    <row r="230" spans="1:9">
      <c r="A230" t="s">
        <v>525</v>
      </c>
      <c r="B230" t="s">
        <v>526</v>
      </c>
      <c r="C230" t="s">
        <v>102</v>
      </c>
      <c r="D230" t="s">
        <v>12</v>
      </c>
      <c r="E230" t="s">
        <v>13</v>
      </c>
      <c r="F230">
        <v>5</v>
      </c>
      <c r="G230">
        <v>1589.94</v>
      </c>
      <c r="H230">
        <v>7949.7</v>
      </c>
      <c r="I230" t="s">
        <v>23</v>
      </c>
    </row>
    <row r="231" spans="1:9">
      <c r="A231" t="s">
        <v>527</v>
      </c>
      <c r="B231" t="s">
        <v>460</v>
      </c>
      <c r="C231" t="s">
        <v>265</v>
      </c>
      <c r="D231" t="s">
        <v>51</v>
      </c>
      <c r="E231" t="s">
        <v>52</v>
      </c>
      <c r="F231">
        <v>5</v>
      </c>
      <c r="G231">
        <v>109.45</v>
      </c>
      <c r="H231">
        <v>547.25</v>
      </c>
      <c r="I231" t="s">
        <v>31</v>
      </c>
    </row>
    <row r="232" spans="1:9">
      <c r="A232" t="s">
        <v>528</v>
      </c>
      <c r="B232" t="s">
        <v>101</v>
      </c>
      <c r="C232" t="s">
        <v>529</v>
      </c>
      <c r="D232" t="s">
        <v>35</v>
      </c>
      <c r="E232" t="s">
        <v>13</v>
      </c>
      <c r="F232">
        <v>5</v>
      </c>
      <c r="G232">
        <v>1121.8399999999999</v>
      </c>
      <c r="H232">
        <v>5609.2</v>
      </c>
      <c r="I232" t="s">
        <v>47</v>
      </c>
    </row>
    <row r="233" spans="1:9">
      <c r="A233" t="s">
        <v>530</v>
      </c>
      <c r="B233" t="s">
        <v>513</v>
      </c>
      <c r="C233" t="s">
        <v>345</v>
      </c>
      <c r="D233" t="s">
        <v>12</v>
      </c>
      <c r="E233" t="s">
        <v>13</v>
      </c>
      <c r="F233">
        <v>3</v>
      </c>
      <c r="G233">
        <v>1662.58</v>
      </c>
      <c r="H233">
        <v>4987.74</v>
      </c>
      <c r="I233" t="s">
        <v>23</v>
      </c>
    </row>
    <row r="234" spans="1:9">
      <c r="A234" t="s">
        <v>531</v>
      </c>
      <c r="B234" t="s">
        <v>438</v>
      </c>
      <c r="C234" t="s">
        <v>78</v>
      </c>
      <c r="D234" t="s">
        <v>79</v>
      </c>
      <c r="E234" t="s">
        <v>52</v>
      </c>
      <c r="F234">
        <v>2</v>
      </c>
      <c r="G234">
        <v>1050.26</v>
      </c>
      <c r="H234">
        <v>2100.52</v>
      </c>
      <c r="I234" t="s">
        <v>47</v>
      </c>
    </row>
    <row r="235" spans="1:9">
      <c r="A235" t="s">
        <v>532</v>
      </c>
      <c r="B235" t="s">
        <v>374</v>
      </c>
      <c r="C235" t="s">
        <v>213</v>
      </c>
      <c r="D235" t="s">
        <v>59</v>
      </c>
      <c r="E235" t="s">
        <v>40</v>
      </c>
      <c r="F235">
        <v>5</v>
      </c>
      <c r="G235">
        <v>238.61</v>
      </c>
      <c r="H235">
        <v>1193.05</v>
      </c>
      <c r="I235" t="s">
        <v>23</v>
      </c>
    </row>
    <row r="236" spans="1:9">
      <c r="A236" t="s">
        <v>533</v>
      </c>
      <c r="B236" t="s">
        <v>534</v>
      </c>
      <c r="C236" t="s">
        <v>121</v>
      </c>
      <c r="D236" t="s">
        <v>18</v>
      </c>
      <c r="E236" t="s">
        <v>19</v>
      </c>
      <c r="F236">
        <v>5</v>
      </c>
      <c r="G236">
        <v>1738.21</v>
      </c>
      <c r="H236">
        <v>8691.0499999999993</v>
      </c>
      <c r="I236" t="s">
        <v>47</v>
      </c>
    </row>
    <row r="237" spans="1:9">
      <c r="A237" t="s">
        <v>535</v>
      </c>
      <c r="B237" t="s">
        <v>536</v>
      </c>
      <c r="C237" t="s">
        <v>480</v>
      </c>
      <c r="D237" t="s">
        <v>30</v>
      </c>
      <c r="E237" t="s">
        <v>19</v>
      </c>
      <c r="F237">
        <v>2</v>
      </c>
      <c r="G237">
        <v>1793.79</v>
      </c>
      <c r="H237">
        <v>3587.58</v>
      </c>
      <c r="I237" t="s">
        <v>14</v>
      </c>
    </row>
    <row r="238" spans="1:9">
      <c r="A238" t="s">
        <v>537</v>
      </c>
      <c r="B238" t="s">
        <v>233</v>
      </c>
      <c r="C238" t="s">
        <v>538</v>
      </c>
      <c r="D238" t="s">
        <v>110</v>
      </c>
      <c r="E238" t="s">
        <v>52</v>
      </c>
      <c r="F238">
        <v>3</v>
      </c>
      <c r="G238">
        <v>1832.95</v>
      </c>
      <c r="H238">
        <v>5498.85</v>
      </c>
      <c r="I238" t="s">
        <v>23</v>
      </c>
    </row>
    <row r="239" spans="1:9">
      <c r="A239" t="s">
        <v>539</v>
      </c>
      <c r="B239" t="s">
        <v>540</v>
      </c>
      <c r="C239" t="s">
        <v>541</v>
      </c>
      <c r="D239" t="s">
        <v>18</v>
      </c>
      <c r="E239" t="s">
        <v>19</v>
      </c>
      <c r="F239">
        <v>3</v>
      </c>
      <c r="G239">
        <v>952.87</v>
      </c>
      <c r="H239">
        <v>2858.61</v>
      </c>
      <c r="I239" t="s">
        <v>14</v>
      </c>
    </row>
    <row r="240" spans="1:9">
      <c r="A240" t="s">
        <v>542</v>
      </c>
      <c r="B240" t="s">
        <v>482</v>
      </c>
      <c r="C240" t="s">
        <v>313</v>
      </c>
      <c r="D240" t="s">
        <v>51</v>
      </c>
      <c r="E240" t="s">
        <v>52</v>
      </c>
      <c r="F240">
        <v>3</v>
      </c>
      <c r="G240">
        <v>1246.23</v>
      </c>
      <c r="H240">
        <v>3738.69</v>
      </c>
      <c r="I240" t="s">
        <v>31</v>
      </c>
    </row>
    <row r="241" spans="1:9">
      <c r="A241" t="s">
        <v>543</v>
      </c>
      <c r="B241" t="s">
        <v>544</v>
      </c>
      <c r="C241" t="s">
        <v>29</v>
      </c>
      <c r="D241" t="s">
        <v>18</v>
      </c>
      <c r="E241" t="s">
        <v>19</v>
      </c>
      <c r="F241">
        <v>4</v>
      </c>
      <c r="G241">
        <v>1611.61</v>
      </c>
      <c r="H241">
        <v>6446.44</v>
      </c>
      <c r="I241" t="s">
        <v>23</v>
      </c>
    </row>
    <row r="242" spans="1:9">
      <c r="A242" t="s">
        <v>545</v>
      </c>
      <c r="B242" t="s">
        <v>339</v>
      </c>
      <c r="C242" t="s">
        <v>371</v>
      </c>
      <c r="D242" t="s">
        <v>79</v>
      </c>
      <c r="E242" t="s">
        <v>52</v>
      </c>
      <c r="F242">
        <v>5</v>
      </c>
      <c r="G242">
        <v>913.5</v>
      </c>
      <c r="H242">
        <v>4567.5</v>
      </c>
      <c r="I242" t="s">
        <v>23</v>
      </c>
    </row>
    <row r="243" spans="1:9">
      <c r="A243" t="s">
        <v>546</v>
      </c>
      <c r="B243" t="s">
        <v>325</v>
      </c>
      <c r="C243" t="s">
        <v>99</v>
      </c>
      <c r="D243" t="s">
        <v>35</v>
      </c>
      <c r="E243" t="s">
        <v>13</v>
      </c>
      <c r="F243">
        <v>4</v>
      </c>
      <c r="G243">
        <v>317.41000000000003</v>
      </c>
      <c r="H243">
        <v>1269.6400000000001</v>
      </c>
      <c r="I243" t="s">
        <v>14</v>
      </c>
    </row>
    <row r="244" spans="1:9">
      <c r="A244" t="s">
        <v>547</v>
      </c>
      <c r="B244" t="s">
        <v>256</v>
      </c>
      <c r="C244" t="s">
        <v>548</v>
      </c>
      <c r="D244" t="s">
        <v>79</v>
      </c>
      <c r="E244" t="s">
        <v>52</v>
      </c>
      <c r="F244">
        <v>2</v>
      </c>
      <c r="G244">
        <v>1924.33</v>
      </c>
      <c r="H244">
        <v>3848.66</v>
      </c>
      <c r="I244" t="s">
        <v>14</v>
      </c>
    </row>
    <row r="245" spans="1:9">
      <c r="A245" t="s">
        <v>549</v>
      </c>
      <c r="B245" t="s">
        <v>262</v>
      </c>
      <c r="C245" t="s">
        <v>73</v>
      </c>
      <c r="D245" t="s">
        <v>18</v>
      </c>
      <c r="E245" t="s">
        <v>19</v>
      </c>
      <c r="F245">
        <v>2</v>
      </c>
      <c r="G245">
        <v>1590.09</v>
      </c>
      <c r="H245">
        <v>3180.18</v>
      </c>
      <c r="I245" t="s">
        <v>23</v>
      </c>
    </row>
    <row r="246" spans="1:9">
      <c r="A246" t="s">
        <v>550</v>
      </c>
      <c r="B246" t="s">
        <v>54</v>
      </c>
      <c r="C246" t="s">
        <v>337</v>
      </c>
      <c r="D246" t="s">
        <v>30</v>
      </c>
      <c r="E246" t="s">
        <v>19</v>
      </c>
      <c r="F246">
        <v>1</v>
      </c>
      <c r="G246">
        <v>942.24</v>
      </c>
      <c r="H246">
        <v>942.24</v>
      </c>
      <c r="I246" t="s">
        <v>14</v>
      </c>
    </row>
    <row r="247" spans="1:9">
      <c r="A247" t="s">
        <v>551</v>
      </c>
      <c r="B247" t="s">
        <v>505</v>
      </c>
      <c r="C247" t="s">
        <v>358</v>
      </c>
      <c r="D247" t="s">
        <v>110</v>
      </c>
      <c r="E247" t="s">
        <v>52</v>
      </c>
      <c r="F247">
        <v>2</v>
      </c>
      <c r="G247">
        <v>453.69</v>
      </c>
      <c r="H247">
        <v>907.38</v>
      </c>
      <c r="I247" t="s">
        <v>31</v>
      </c>
    </row>
    <row r="248" spans="1:9">
      <c r="A248" t="s">
        <v>552</v>
      </c>
      <c r="B248" t="s">
        <v>553</v>
      </c>
      <c r="C248" t="s">
        <v>480</v>
      </c>
      <c r="D248" t="s">
        <v>18</v>
      </c>
      <c r="E248" t="s">
        <v>19</v>
      </c>
      <c r="F248">
        <v>4</v>
      </c>
      <c r="G248">
        <v>541.41</v>
      </c>
      <c r="H248">
        <v>2165.64</v>
      </c>
      <c r="I248" t="s">
        <v>23</v>
      </c>
    </row>
    <row r="249" spans="1:9">
      <c r="A249" t="s">
        <v>554</v>
      </c>
      <c r="B249" t="s">
        <v>336</v>
      </c>
      <c r="C249" t="s">
        <v>555</v>
      </c>
      <c r="D249" t="s">
        <v>79</v>
      </c>
      <c r="E249" t="s">
        <v>52</v>
      </c>
      <c r="F249">
        <v>5</v>
      </c>
      <c r="G249">
        <v>456.27</v>
      </c>
      <c r="H249">
        <v>2281.35</v>
      </c>
      <c r="I249" t="s">
        <v>14</v>
      </c>
    </row>
    <row r="250" spans="1:9">
      <c r="A250" t="s">
        <v>556</v>
      </c>
      <c r="B250" t="s">
        <v>557</v>
      </c>
      <c r="C250" t="s">
        <v>403</v>
      </c>
      <c r="D250" t="s">
        <v>35</v>
      </c>
      <c r="E250" t="s">
        <v>13</v>
      </c>
      <c r="F250">
        <v>1</v>
      </c>
      <c r="G250">
        <v>244.89</v>
      </c>
      <c r="H250">
        <v>244.89</v>
      </c>
      <c r="I250" t="s">
        <v>47</v>
      </c>
    </row>
    <row r="251" spans="1:9">
      <c r="A251" t="s">
        <v>558</v>
      </c>
      <c r="B251" t="s">
        <v>505</v>
      </c>
      <c r="C251" t="s">
        <v>480</v>
      </c>
      <c r="D251" t="s">
        <v>39</v>
      </c>
      <c r="E251" t="s">
        <v>40</v>
      </c>
      <c r="F251">
        <v>4</v>
      </c>
      <c r="G251">
        <v>1068.3</v>
      </c>
      <c r="H251">
        <v>4273.2</v>
      </c>
      <c r="I251" t="s">
        <v>47</v>
      </c>
    </row>
    <row r="252" spans="1:9">
      <c r="A252" t="s">
        <v>559</v>
      </c>
      <c r="B252" t="s">
        <v>560</v>
      </c>
      <c r="C252" t="s">
        <v>50</v>
      </c>
      <c r="D252" t="s">
        <v>110</v>
      </c>
      <c r="E252" t="s">
        <v>52</v>
      </c>
      <c r="F252">
        <v>5</v>
      </c>
      <c r="G252">
        <v>839.43</v>
      </c>
      <c r="H252">
        <v>4197.1499999999996</v>
      </c>
      <c r="I252" t="s">
        <v>23</v>
      </c>
    </row>
    <row r="253" spans="1:9">
      <c r="A253" t="s">
        <v>561</v>
      </c>
      <c r="B253" t="s">
        <v>487</v>
      </c>
      <c r="C253" t="s">
        <v>186</v>
      </c>
      <c r="D253" t="s">
        <v>79</v>
      </c>
      <c r="E253" t="s">
        <v>52</v>
      </c>
      <c r="F253">
        <v>1</v>
      </c>
      <c r="G253">
        <v>116.61</v>
      </c>
      <c r="H253">
        <v>116.61</v>
      </c>
      <c r="I253" t="s">
        <v>31</v>
      </c>
    </row>
    <row r="254" spans="1:9">
      <c r="A254" t="s">
        <v>562</v>
      </c>
      <c r="B254" t="s">
        <v>563</v>
      </c>
      <c r="C254" t="s">
        <v>55</v>
      </c>
      <c r="D254" t="s">
        <v>35</v>
      </c>
      <c r="E254" t="s">
        <v>13</v>
      </c>
      <c r="F254">
        <v>2</v>
      </c>
      <c r="G254">
        <v>302.7</v>
      </c>
      <c r="H254">
        <v>605.4</v>
      </c>
      <c r="I254" t="s">
        <v>47</v>
      </c>
    </row>
    <row r="255" spans="1:9">
      <c r="A255" t="s">
        <v>564</v>
      </c>
      <c r="B255" t="s">
        <v>380</v>
      </c>
      <c r="C255" t="s">
        <v>378</v>
      </c>
      <c r="D255" t="s">
        <v>79</v>
      </c>
      <c r="E255" t="s">
        <v>52</v>
      </c>
      <c r="F255">
        <v>1</v>
      </c>
      <c r="G255">
        <v>1832.09</v>
      </c>
      <c r="H255">
        <v>1832.09</v>
      </c>
      <c r="I255" t="s">
        <v>23</v>
      </c>
    </row>
    <row r="256" spans="1:9">
      <c r="A256" t="s">
        <v>565</v>
      </c>
      <c r="B256" t="s">
        <v>305</v>
      </c>
      <c r="C256" t="s">
        <v>17</v>
      </c>
      <c r="D256" t="s">
        <v>35</v>
      </c>
      <c r="E256" t="s">
        <v>13</v>
      </c>
      <c r="F256">
        <v>3</v>
      </c>
      <c r="G256">
        <v>1759.8</v>
      </c>
      <c r="H256">
        <v>5279.4</v>
      </c>
      <c r="I256" t="s">
        <v>23</v>
      </c>
    </row>
    <row r="257" spans="1:9">
      <c r="A257" t="s">
        <v>566</v>
      </c>
      <c r="B257" t="s">
        <v>262</v>
      </c>
      <c r="C257" t="s">
        <v>496</v>
      </c>
      <c r="D257" t="s">
        <v>35</v>
      </c>
      <c r="E257" t="s">
        <v>13</v>
      </c>
      <c r="F257">
        <v>4</v>
      </c>
      <c r="G257">
        <v>873.15</v>
      </c>
      <c r="H257">
        <v>3492.6</v>
      </c>
      <c r="I257" t="s">
        <v>31</v>
      </c>
    </row>
    <row r="258" spans="1:9">
      <c r="A258" t="s">
        <v>567</v>
      </c>
      <c r="B258" t="s">
        <v>482</v>
      </c>
      <c r="C258" t="s">
        <v>192</v>
      </c>
      <c r="D258" t="s">
        <v>39</v>
      </c>
      <c r="E258" t="s">
        <v>40</v>
      </c>
      <c r="F258">
        <v>4</v>
      </c>
      <c r="G258">
        <v>548.76</v>
      </c>
      <c r="H258">
        <v>2195.04</v>
      </c>
      <c r="I258" t="s">
        <v>31</v>
      </c>
    </row>
    <row r="259" spans="1:9">
      <c r="A259" t="s">
        <v>568</v>
      </c>
      <c r="B259" t="s">
        <v>109</v>
      </c>
      <c r="C259" t="s">
        <v>313</v>
      </c>
      <c r="D259" t="s">
        <v>59</v>
      </c>
      <c r="E259" t="s">
        <v>40</v>
      </c>
      <c r="F259">
        <v>1</v>
      </c>
      <c r="G259">
        <v>1798.68</v>
      </c>
      <c r="H259">
        <v>1798.68</v>
      </c>
      <c r="I259" t="s">
        <v>31</v>
      </c>
    </row>
    <row r="260" spans="1:9">
      <c r="A260" t="s">
        <v>569</v>
      </c>
      <c r="B260" t="s">
        <v>331</v>
      </c>
      <c r="C260" t="s">
        <v>219</v>
      </c>
      <c r="D260" t="s">
        <v>35</v>
      </c>
      <c r="E260" t="s">
        <v>13</v>
      </c>
      <c r="F260">
        <v>3</v>
      </c>
      <c r="G260">
        <v>1772.39</v>
      </c>
      <c r="H260">
        <v>5317.17</v>
      </c>
      <c r="I260" t="s">
        <v>47</v>
      </c>
    </row>
    <row r="261" spans="1:9">
      <c r="A261" t="s">
        <v>570</v>
      </c>
      <c r="B261" t="s">
        <v>84</v>
      </c>
      <c r="C261" t="s">
        <v>96</v>
      </c>
      <c r="D261" t="s">
        <v>12</v>
      </c>
      <c r="E261" t="s">
        <v>13</v>
      </c>
      <c r="F261">
        <v>3</v>
      </c>
      <c r="G261">
        <v>1273.49</v>
      </c>
      <c r="H261">
        <v>3820.47</v>
      </c>
      <c r="I261" t="s">
        <v>23</v>
      </c>
    </row>
    <row r="262" spans="1:9">
      <c r="A262" t="s">
        <v>571</v>
      </c>
      <c r="B262" t="s">
        <v>413</v>
      </c>
      <c r="C262" t="s">
        <v>378</v>
      </c>
      <c r="D262" t="s">
        <v>12</v>
      </c>
      <c r="E262" t="s">
        <v>13</v>
      </c>
      <c r="F262">
        <v>3</v>
      </c>
      <c r="G262">
        <v>1805.64</v>
      </c>
      <c r="H262">
        <v>5416.92</v>
      </c>
      <c r="I262" t="s">
        <v>14</v>
      </c>
    </row>
    <row r="263" spans="1:9">
      <c r="A263" t="s">
        <v>572</v>
      </c>
      <c r="B263" t="s">
        <v>573</v>
      </c>
      <c r="C263" t="s">
        <v>118</v>
      </c>
      <c r="D263" t="s">
        <v>51</v>
      </c>
      <c r="E263" t="s">
        <v>52</v>
      </c>
      <c r="F263">
        <v>4</v>
      </c>
      <c r="G263">
        <v>1576.57</v>
      </c>
      <c r="H263">
        <v>6306.28</v>
      </c>
      <c r="I263" t="s">
        <v>23</v>
      </c>
    </row>
    <row r="264" spans="1:9">
      <c r="A264" t="s">
        <v>574</v>
      </c>
      <c r="B264" t="s">
        <v>134</v>
      </c>
      <c r="C264" t="s">
        <v>34</v>
      </c>
      <c r="D264" t="s">
        <v>79</v>
      </c>
      <c r="E264" t="s">
        <v>52</v>
      </c>
      <c r="F264">
        <v>5</v>
      </c>
      <c r="G264">
        <v>1510.6</v>
      </c>
      <c r="H264">
        <v>7553</v>
      </c>
      <c r="I264" t="s">
        <v>14</v>
      </c>
    </row>
    <row r="265" spans="1:9">
      <c r="A265" t="s">
        <v>575</v>
      </c>
      <c r="B265" t="s">
        <v>334</v>
      </c>
      <c r="C265" t="s">
        <v>213</v>
      </c>
      <c r="D265" t="s">
        <v>30</v>
      </c>
      <c r="E265" t="s">
        <v>19</v>
      </c>
      <c r="F265">
        <v>1</v>
      </c>
      <c r="G265">
        <v>1224.1600000000001</v>
      </c>
      <c r="H265">
        <v>1224.1600000000001</v>
      </c>
      <c r="I265" t="s">
        <v>31</v>
      </c>
    </row>
    <row r="266" spans="1:9">
      <c r="A266" t="s">
        <v>576</v>
      </c>
      <c r="B266" t="s">
        <v>305</v>
      </c>
      <c r="C266" t="s">
        <v>102</v>
      </c>
      <c r="D266" t="s">
        <v>30</v>
      </c>
      <c r="E266" t="s">
        <v>19</v>
      </c>
      <c r="F266">
        <v>2</v>
      </c>
      <c r="G266">
        <v>691.5</v>
      </c>
      <c r="H266">
        <v>1383</v>
      </c>
      <c r="I266" t="s">
        <v>23</v>
      </c>
    </row>
    <row r="267" spans="1:9">
      <c r="A267" t="s">
        <v>577</v>
      </c>
      <c r="B267" t="s">
        <v>443</v>
      </c>
      <c r="C267" t="s">
        <v>231</v>
      </c>
      <c r="D267" t="s">
        <v>18</v>
      </c>
      <c r="E267" t="s">
        <v>19</v>
      </c>
      <c r="F267">
        <v>5</v>
      </c>
      <c r="G267">
        <v>980.6</v>
      </c>
      <c r="H267">
        <v>4903</v>
      </c>
      <c r="I267" t="s">
        <v>31</v>
      </c>
    </row>
    <row r="268" spans="1:9">
      <c r="A268" t="s">
        <v>578</v>
      </c>
      <c r="B268" t="s">
        <v>33</v>
      </c>
      <c r="C268" t="s">
        <v>429</v>
      </c>
      <c r="D268" t="s">
        <v>12</v>
      </c>
      <c r="E268" t="s">
        <v>13</v>
      </c>
      <c r="F268">
        <v>3</v>
      </c>
      <c r="G268">
        <v>1743.75</v>
      </c>
      <c r="H268">
        <v>5231.25</v>
      </c>
      <c r="I268" t="s">
        <v>23</v>
      </c>
    </row>
    <row r="269" spans="1:9">
      <c r="A269" t="s">
        <v>579</v>
      </c>
      <c r="B269" t="s">
        <v>385</v>
      </c>
      <c r="C269" t="s">
        <v>287</v>
      </c>
      <c r="D269" t="s">
        <v>51</v>
      </c>
      <c r="E269" t="s">
        <v>52</v>
      </c>
      <c r="F269">
        <v>4</v>
      </c>
      <c r="G269">
        <v>1810.82</v>
      </c>
      <c r="H269">
        <v>7243.28</v>
      </c>
      <c r="I269" t="s">
        <v>47</v>
      </c>
    </row>
    <row r="270" spans="1:9">
      <c r="A270" t="s">
        <v>580</v>
      </c>
      <c r="B270" t="s">
        <v>237</v>
      </c>
      <c r="C270" t="s">
        <v>581</v>
      </c>
      <c r="D270" t="s">
        <v>110</v>
      </c>
      <c r="E270" t="s">
        <v>52</v>
      </c>
      <c r="F270">
        <v>1</v>
      </c>
      <c r="G270">
        <v>897.06</v>
      </c>
      <c r="H270">
        <v>897.06</v>
      </c>
      <c r="I270" t="s">
        <v>14</v>
      </c>
    </row>
    <row r="271" spans="1:9">
      <c r="A271" t="s">
        <v>582</v>
      </c>
      <c r="B271" t="s">
        <v>583</v>
      </c>
      <c r="C271" t="s">
        <v>50</v>
      </c>
      <c r="D271" t="s">
        <v>18</v>
      </c>
      <c r="E271" t="s">
        <v>19</v>
      </c>
      <c r="F271">
        <v>1</v>
      </c>
      <c r="G271">
        <v>856.43</v>
      </c>
      <c r="H271">
        <v>856.43</v>
      </c>
      <c r="I271" t="s">
        <v>31</v>
      </c>
    </row>
    <row r="272" spans="1:9">
      <c r="A272" t="s">
        <v>584</v>
      </c>
      <c r="B272" t="s">
        <v>585</v>
      </c>
      <c r="C272" t="s">
        <v>297</v>
      </c>
      <c r="D272" t="s">
        <v>110</v>
      </c>
      <c r="E272" t="s">
        <v>52</v>
      </c>
      <c r="F272">
        <v>1</v>
      </c>
      <c r="G272">
        <v>1954.67</v>
      </c>
      <c r="H272">
        <v>1954.67</v>
      </c>
      <c r="I272" t="s">
        <v>14</v>
      </c>
    </row>
    <row r="273" spans="1:9">
      <c r="A273" t="s">
        <v>586</v>
      </c>
      <c r="B273" t="s">
        <v>587</v>
      </c>
      <c r="C273" t="s">
        <v>273</v>
      </c>
      <c r="D273" t="s">
        <v>110</v>
      </c>
      <c r="E273" t="s">
        <v>52</v>
      </c>
      <c r="F273">
        <v>4</v>
      </c>
      <c r="G273">
        <v>1000.75</v>
      </c>
      <c r="H273">
        <v>4003</v>
      </c>
      <c r="I273" t="s">
        <v>14</v>
      </c>
    </row>
    <row r="274" spans="1:9">
      <c r="A274" t="s">
        <v>588</v>
      </c>
      <c r="B274" t="s">
        <v>493</v>
      </c>
      <c r="C274" t="s">
        <v>254</v>
      </c>
      <c r="D274" t="s">
        <v>79</v>
      </c>
      <c r="E274" t="s">
        <v>52</v>
      </c>
      <c r="F274">
        <v>1</v>
      </c>
      <c r="G274">
        <v>961.08</v>
      </c>
      <c r="H274">
        <v>961.08</v>
      </c>
      <c r="I274" t="s">
        <v>31</v>
      </c>
    </row>
    <row r="275" spans="1:9">
      <c r="A275" t="s">
        <v>589</v>
      </c>
      <c r="B275" t="s">
        <v>590</v>
      </c>
      <c r="C275" t="s">
        <v>591</v>
      </c>
      <c r="D275" t="s">
        <v>110</v>
      </c>
      <c r="E275" t="s">
        <v>52</v>
      </c>
      <c r="F275">
        <v>3</v>
      </c>
      <c r="G275">
        <v>441.69</v>
      </c>
      <c r="H275">
        <v>1325.07</v>
      </c>
      <c r="I275" t="s">
        <v>14</v>
      </c>
    </row>
    <row r="276" spans="1:9">
      <c r="A276" t="s">
        <v>592</v>
      </c>
      <c r="B276" t="s">
        <v>72</v>
      </c>
      <c r="C276" t="s">
        <v>287</v>
      </c>
      <c r="D276" t="s">
        <v>51</v>
      </c>
      <c r="E276" t="s">
        <v>52</v>
      </c>
      <c r="F276">
        <v>1</v>
      </c>
      <c r="G276">
        <v>515.01</v>
      </c>
      <c r="H276">
        <v>515.01</v>
      </c>
      <c r="I276" t="s">
        <v>31</v>
      </c>
    </row>
    <row r="277" spans="1:9">
      <c r="A277" t="s">
        <v>593</v>
      </c>
      <c r="B277" t="s">
        <v>594</v>
      </c>
      <c r="C277" t="s">
        <v>140</v>
      </c>
      <c r="D277" t="s">
        <v>110</v>
      </c>
      <c r="E277" t="s">
        <v>52</v>
      </c>
      <c r="F277">
        <v>2</v>
      </c>
      <c r="G277">
        <v>1403.64</v>
      </c>
      <c r="H277">
        <v>2807.28</v>
      </c>
      <c r="I277" t="s">
        <v>31</v>
      </c>
    </row>
    <row r="278" spans="1:9">
      <c r="A278" t="s">
        <v>595</v>
      </c>
      <c r="B278" t="s">
        <v>474</v>
      </c>
      <c r="C278" t="s">
        <v>411</v>
      </c>
      <c r="D278" t="s">
        <v>39</v>
      </c>
      <c r="E278" t="s">
        <v>40</v>
      </c>
      <c r="F278">
        <v>2</v>
      </c>
      <c r="G278">
        <v>492.7</v>
      </c>
      <c r="H278">
        <v>985.4</v>
      </c>
      <c r="I278" t="s">
        <v>23</v>
      </c>
    </row>
    <row r="279" spans="1:9">
      <c r="A279" t="s">
        <v>596</v>
      </c>
      <c r="B279" t="s">
        <v>597</v>
      </c>
      <c r="C279" t="s">
        <v>17</v>
      </c>
      <c r="D279" t="s">
        <v>59</v>
      </c>
      <c r="E279" t="s">
        <v>40</v>
      </c>
      <c r="F279">
        <v>3</v>
      </c>
      <c r="G279">
        <v>133.72</v>
      </c>
      <c r="H279">
        <v>401.16</v>
      </c>
      <c r="I279" t="s">
        <v>23</v>
      </c>
    </row>
    <row r="280" spans="1:9">
      <c r="A280" t="s">
        <v>598</v>
      </c>
      <c r="B280" t="s">
        <v>599</v>
      </c>
      <c r="C280" t="s">
        <v>46</v>
      </c>
      <c r="D280" t="s">
        <v>51</v>
      </c>
      <c r="E280" t="s">
        <v>52</v>
      </c>
      <c r="F280">
        <v>5</v>
      </c>
      <c r="G280">
        <v>612.22</v>
      </c>
      <c r="H280">
        <v>3061.1</v>
      </c>
      <c r="I280" t="s">
        <v>14</v>
      </c>
    </row>
    <row r="281" spans="1:9">
      <c r="A281" t="s">
        <v>600</v>
      </c>
      <c r="B281" t="s">
        <v>601</v>
      </c>
      <c r="C281" t="s">
        <v>58</v>
      </c>
      <c r="D281" t="s">
        <v>12</v>
      </c>
      <c r="E281" t="s">
        <v>13</v>
      </c>
      <c r="F281">
        <v>5</v>
      </c>
      <c r="G281">
        <v>1147.72</v>
      </c>
      <c r="H281">
        <v>5738.6</v>
      </c>
      <c r="I281" t="s">
        <v>14</v>
      </c>
    </row>
    <row r="282" spans="1:9">
      <c r="A282" t="s">
        <v>602</v>
      </c>
      <c r="B282" t="s">
        <v>603</v>
      </c>
      <c r="C282" t="s">
        <v>276</v>
      </c>
      <c r="D282" t="s">
        <v>18</v>
      </c>
      <c r="E282" t="s">
        <v>19</v>
      </c>
      <c r="F282">
        <v>5</v>
      </c>
      <c r="G282">
        <v>1917.91</v>
      </c>
      <c r="H282">
        <v>9589.5499999999993</v>
      </c>
      <c r="I282" t="s">
        <v>47</v>
      </c>
    </row>
    <row r="283" spans="1:9">
      <c r="A283" t="s">
        <v>604</v>
      </c>
      <c r="B283" t="s">
        <v>380</v>
      </c>
      <c r="C283" t="s">
        <v>293</v>
      </c>
      <c r="D283" t="s">
        <v>59</v>
      </c>
      <c r="E283" t="s">
        <v>40</v>
      </c>
      <c r="F283">
        <v>2</v>
      </c>
      <c r="G283">
        <v>1416.52</v>
      </c>
      <c r="H283">
        <v>2833.04</v>
      </c>
      <c r="I283" t="s">
        <v>47</v>
      </c>
    </row>
    <row r="284" spans="1:9">
      <c r="A284" t="s">
        <v>605</v>
      </c>
      <c r="B284" t="s">
        <v>352</v>
      </c>
      <c r="C284" t="s">
        <v>201</v>
      </c>
      <c r="D284" t="s">
        <v>35</v>
      </c>
      <c r="E284" t="s">
        <v>13</v>
      </c>
      <c r="F284">
        <v>3</v>
      </c>
      <c r="G284">
        <v>862.2</v>
      </c>
      <c r="H284">
        <v>2586.6</v>
      </c>
      <c r="I284" t="s">
        <v>47</v>
      </c>
    </row>
    <row r="285" spans="1:9">
      <c r="A285" t="s">
        <v>606</v>
      </c>
      <c r="B285" t="s">
        <v>607</v>
      </c>
      <c r="C285" t="s">
        <v>345</v>
      </c>
      <c r="D285" t="s">
        <v>110</v>
      </c>
      <c r="E285" t="s">
        <v>52</v>
      </c>
      <c r="F285">
        <v>4</v>
      </c>
      <c r="G285">
        <v>1260.44</v>
      </c>
      <c r="H285">
        <v>5041.76</v>
      </c>
      <c r="I285" t="s">
        <v>47</v>
      </c>
    </row>
    <row r="286" spans="1:9">
      <c r="A286" t="s">
        <v>608</v>
      </c>
      <c r="B286" t="s">
        <v>212</v>
      </c>
      <c r="C286" t="s">
        <v>34</v>
      </c>
      <c r="D286" t="s">
        <v>59</v>
      </c>
      <c r="E286" t="s">
        <v>40</v>
      </c>
      <c r="F286">
        <v>4</v>
      </c>
      <c r="G286">
        <v>521.38</v>
      </c>
      <c r="H286">
        <v>2085.52</v>
      </c>
      <c r="I286" t="s">
        <v>31</v>
      </c>
    </row>
    <row r="287" spans="1:9">
      <c r="A287" t="s">
        <v>609</v>
      </c>
      <c r="B287" t="s">
        <v>61</v>
      </c>
      <c r="C287" t="s">
        <v>414</v>
      </c>
      <c r="D287" t="s">
        <v>110</v>
      </c>
      <c r="E287" t="s">
        <v>52</v>
      </c>
      <c r="F287">
        <v>3</v>
      </c>
      <c r="G287">
        <v>1571.84</v>
      </c>
      <c r="H287">
        <v>4715.5200000000004</v>
      </c>
      <c r="I287" t="s">
        <v>14</v>
      </c>
    </row>
    <row r="288" spans="1:9">
      <c r="A288" t="s">
        <v>610</v>
      </c>
      <c r="B288" t="s">
        <v>611</v>
      </c>
      <c r="C288" t="s">
        <v>210</v>
      </c>
      <c r="D288" t="s">
        <v>39</v>
      </c>
      <c r="E288" t="s">
        <v>40</v>
      </c>
      <c r="F288">
        <v>2</v>
      </c>
      <c r="G288">
        <v>1660.36</v>
      </c>
      <c r="H288">
        <v>3320.72</v>
      </c>
      <c r="I288" t="s">
        <v>47</v>
      </c>
    </row>
    <row r="289" spans="1:9">
      <c r="A289" t="s">
        <v>612</v>
      </c>
      <c r="B289" t="s">
        <v>573</v>
      </c>
      <c r="C289" t="s">
        <v>456</v>
      </c>
      <c r="D289" t="s">
        <v>18</v>
      </c>
      <c r="E289" t="s">
        <v>19</v>
      </c>
      <c r="F289">
        <v>4</v>
      </c>
      <c r="G289">
        <v>734.46</v>
      </c>
      <c r="H289">
        <v>2937.84</v>
      </c>
      <c r="I289" t="s">
        <v>47</v>
      </c>
    </row>
    <row r="290" spans="1:9">
      <c r="A290" t="s">
        <v>613</v>
      </c>
      <c r="B290" t="s">
        <v>352</v>
      </c>
      <c r="C290" t="s">
        <v>614</v>
      </c>
      <c r="D290" t="s">
        <v>110</v>
      </c>
      <c r="E290" t="s">
        <v>52</v>
      </c>
      <c r="F290">
        <v>4</v>
      </c>
      <c r="G290">
        <v>1885.23</v>
      </c>
      <c r="H290">
        <v>7540.92</v>
      </c>
      <c r="I290" t="s">
        <v>23</v>
      </c>
    </row>
    <row r="291" spans="1:9">
      <c r="A291" t="s">
        <v>615</v>
      </c>
      <c r="B291" t="s">
        <v>616</v>
      </c>
      <c r="C291" t="s">
        <v>153</v>
      </c>
      <c r="D291" t="s">
        <v>110</v>
      </c>
      <c r="E291" t="s">
        <v>52</v>
      </c>
      <c r="F291">
        <v>2</v>
      </c>
      <c r="G291">
        <v>1089.96</v>
      </c>
      <c r="H291">
        <v>2179.92</v>
      </c>
      <c r="I291" t="s">
        <v>47</v>
      </c>
    </row>
    <row r="292" spans="1:9">
      <c r="A292" t="s">
        <v>617</v>
      </c>
      <c r="B292" t="s">
        <v>618</v>
      </c>
      <c r="C292" t="s">
        <v>46</v>
      </c>
      <c r="D292" t="s">
        <v>79</v>
      </c>
      <c r="E292" t="s">
        <v>52</v>
      </c>
      <c r="F292">
        <v>3</v>
      </c>
      <c r="G292">
        <v>1691.25</v>
      </c>
      <c r="H292">
        <v>5073.75</v>
      </c>
      <c r="I292" t="s">
        <v>31</v>
      </c>
    </row>
    <row r="293" spans="1:9">
      <c r="A293" t="s">
        <v>619</v>
      </c>
      <c r="B293" t="s">
        <v>620</v>
      </c>
      <c r="C293" t="s">
        <v>494</v>
      </c>
      <c r="D293" t="s">
        <v>51</v>
      </c>
      <c r="E293" t="s">
        <v>52</v>
      </c>
      <c r="F293">
        <v>4</v>
      </c>
      <c r="G293">
        <v>1785.25</v>
      </c>
      <c r="H293">
        <v>7141</v>
      </c>
      <c r="I293" t="s">
        <v>14</v>
      </c>
    </row>
    <row r="294" spans="1:9">
      <c r="A294" t="s">
        <v>621</v>
      </c>
      <c r="B294" t="s">
        <v>622</v>
      </c>
      <c r="C294" t="s">
        <v>11</v>
      </c>
      <c r="D294" t="s">
        <v>35</v>
      </c>
      <c r="E294" t="s">
        <v>13</v>
      </c>
      <c r="F294">
        <v>3</v>
      </c>
      <c r="G294">
        <v>1301.25</v>
      </c>
      <c r="H294">
        <v>3903.75</v>
      </c>
      <c r="I294" t="s">
        <v>14</v>
      </c>
    </row>
    <row r="295" spans="1:9">
      <c r="A295" t="s">
        <v>623</v>
      </c>
      <c r="B295" t="s">
        <v>624</v>
      </c>
      <c r="C295" t="s">
        <v>213</v>
      </c>
      <c r="D295" t="s">
        <v>12</v>
      </c>
      <c r="E295" t="s">
        <v>13</v>
      </c>
      <c r="F295">
        <v>2</v>
      </c>
      <c r="G295">
        <v>359.03</v>
      </c>
      <c r="H295">
        <v>718.06</v>
      </c>
      <c r="I295" t="s">
        <v>23</v>
      </c>
    </row>
    <row r="296" spans="1:9">
      <c r="A296" t="s">
        <v>625</v>
      </c>
      <c r="B296" t="s">
        <v>626</v>
      </c>
      <c r="C296" t="s">
        <v>449</v>
      </c>
      <c r="D296" t="s">
        <v>110</v>
      </c>
      <c r="E296" t="s">
        <v>52</v>
      </c>
      <c r="F296">
        <v>3</v>
      </c>
      <c r="G296">
        <v>1541.55</v>
      </c>
      <c r="H296">
        <v>4624.6499999999996</v>
      </c>
      <c r="I296" t="s">
        <v>23</v>
      </c>
    </row>
    <row r="297" spans="1:9">
      <c r="A297" t="s">
        <v>627</v>
      </c>
      <c r="B297" t="s">
        <v>628</v>
      </c>
      <c r="C297" t="s">
        <v>353</v>
      </c>
      <c r="D297" t="s">
        <v>59</v>
      </c>
      <c r="E297" t="s">
        <v>40</v>
      </c>
      <c r="F297">
        <v>5</v>
      </c>
      <c r="G297">
        <v>1796.53</v>
      </c>
      <c r="H297">
        <v>8982.65</v>
      </c>
      <c r="I297" t="s">
        <v>14</v>
      </c>
    </row>
    <row r="298" spans="1:9">
      <c r="A298" t="s">
        <v>629</v>
      </c>
      <c r="B298" t="s">
        <v>630</v>
      </c>
      <c r="C298" t="s">
        <v>34</v>
      </c>
      <c r="D298" t="s">
        <v>18</v>
      </c>
      <c r="E298" t="s">
        <v>19</v>
      </c>
      <c r="F298">
        <v>4</v>
      </c>
      <c r="G298">
        <v>1204.43</v>
      </c>
      <c r="H298">
        <v>4817.72</v>
      </c>
      <c r="I298" t="s">
        <v>23</v>
      </c>
    </row>
    <row r="299" spans="1:9">
      <c r="A299" t="s">
        <v>631</v>
      </c>
      <c r="B299" t="s">
        <v>280</v>
      </c>
      <c r="C299" t="s">
        <v>166</v>
      </c>
      <c r="D299" t="s">
        <v>79</v>
      </c>
      <c r="E299" t="s">
        <v>52</v>
      </c>
      <c r="F299">
        <v>1</v>
      </c>
      <c r="G299">
        <v>1663.86</v>
      </c>
      <c r="H299">
        <v>1663.86</v>
      </c>
      <c r="I299" t="s">
        <v>23</v>
      </c>
    </row>
    <row r="300" spans="1:9">
      <c r="A300" t="s">
        <v>632</v>
      </c>
      <c r="B300" t="s">
        <v>633</v>
      </c>
      <c r="C300" t="s">
        <v>386</v>
      </c>
      <c r="D300" t="s">
        <v>12</v>
      </c>
      <c r="E300" t="s">
        <v>13</v>
      </c>
      <c r="F300">
        <v>3</v>
      </c>
      <c r="G300">
        <v>1800.12</v>
      </c>
      <c r="H300">
        <v>5400.36</v>
      </c>
      <c r="I300" t="s">
        <v>23</v>
      </c>
    </row>
    <row r="301" spans="1:9">
      <c r="A301" t="s">
        <v>634</v>
      </c>
      <c r="B301" t="s">
        <v>635</v>
      </c>
      <c r="C301" t="s">
        <v>172</v>
      </c>
      <c r="D301" t="s">
        <v>12</v>
      </c>
      <c r="E301" t="s">
        <v>13</v>
      </c>
      <c r="F301">
        <v>1</v>
      </c>
      <c r="G301">
        <v>1365.31</v>
      </c>
      <c r="H301">
        <v>1365.31</v>
      </c>
      <c r="I301" t="s">
        <v>14</v>
      </c>
    </row>
    <row r="302" spans="1:9">
      <c r="A302" t="s">
        <v>636</v>
      </c>
      <c r="B302" t="s">
        <v>637</v>
      </c>
      <c r="C302" t="s">
        <v>638</v>
      </c>
      <c r="D302" t="s">
        <v>110</v>
      </c>
      <c r="E302" t="s">
        <v>52</v>
      </c>
      <c r="F302">
        <v>3</v>
      </c>
      <c r="G302">
        <v>918.58</v>
      </c>
      <c r="H302">
        <v>2755.74</v>
      </c>
      <c r="I302" t="s">
        <v>31</v>
      </c>
    </row>
    <row r="303" spans="1:9">
      <c r="A303" t="s">
        <v>639</v>
      </c>
      <c r="B303" t="s">
        <v>640</v>
      </c>
      <c r="C303" t="s">
        <v>449</v>
      </c>
      <c r="D303" t="s">
        <v>12</v>
      </c>
      <c r="E303" t="s">
        <v>13</v>
      </c>
      <c r="F303">
        <v>5</v>
      </c>
      <c r="G303">
        <v>95.23</v>
      </c>
      <c r="H303">
        <v>476.15</v>
      </c>
      <c r="I303" t="s">
        <v>23</v>
      </c>
    </row>
    <row r="304" spans="1:9">
      <c r="A304" t="s">
        <v>641</v>
      </c>
      <c r="B304" t="s">
        <v>642</v>
      </c>
      <c r="C304" t="s">
        <v>210</v>
      </c>
      <c r="D304" t="s">
        <v>30</v>
      </c>
      <c r="E304" t="s">
        <v>19</v>
      </c>
      <c r="F304">
        <v>2</v>
      </c>
      <c r="G304">
        <v>394.26</v>
      </c>
      <c r="H304">
        <v>788.52</v>
      </c>
      <c r="I304" t="s">
        <v>14</v>
      </c>
    </row>
    <row r="305" spans="1:9">
      <c r="A305" t="s">
        <v>643</v>
      </c>
      <c r="B305" t="s">
        <v>191</v>
      </c>
      <c r="C305" t="s">
        <v>371</v>
      </c>
      <c r="D305" t="s">
        <v>79</v>
      </c>
      <c r="E305" t="s">
        <v>52</v>
      </c>
      <c r="F305">
        <v>1</v>
      </c>
      <c r="G305">
        <v>523.58000000000004</v>
      </c>
      <c r="H305">
        <v>523.58000000000004</v>
      </c>
      <c r="I305" t="s">
        <v>47</v>
      </c>
    </row>
    <row r="306" spans="1:9">
      <c r="A306" t="s">
        <v>644</v>
      </c>
      <c r="B306" t="s">
        <v>645</v>
      </c>
      <c r="C306" t="s">
        <v>102</v>
      </c>
      <c r="D306" t="s">
        <v>79</v>
      </c>
      <c r="E306" t="s">
        <v>52</v>
      </c>
      <c r="F306">
        <v>4</v>
      </c>
      <c r="G306">
        <v>201.13</v>
      </c>
      <c r="H306">
        <v>804.52</v>
      </c>
      <c r="I306" t="s">
        <v>23</v>
      </c>
    </row>
    <row r="307" spans="1:9">
      <c r="A307" t="s">
        <v>646</v>
      </c>
      <c r="B307" t="s">
        <v>647</v>
      </c>
      <c r="C307" t="s">
        <v>496</v>
      </c>
      <c r="D307" t="s">
        <v>110</v>
      </c>
      <c r="E307" t="s">
        <v>52</v>
      </c>
      <c r="F307">
        <v>4</v>
      </c>
      <c r="G307">
        <v>1229.6400000000001</v>
      </c>
      <c r="H307">
        <v>4918.5600000000004</v>
      </c>
      <c r="I307" t="s">
        <v>47</v>
      </c>
    </row>
    <row r="308" spans="1:9">
      <c r="A308" t="s">
        <v>648</v>
      </c>
      <c r="B308" t="s">
        <v>620</v>
      </c>
      <c r="C308" t="s">
        <v>345</v>
      </c>
      <c r="D308" t="s">
        <v>79</v>
      </c>
      <c r="E308" t="s">
        <v>52</v>
      </c>
      <c r="F308">
        <v>2</v>
      </c>
      <c r="G308">
        <v>578.70000000000005</v>
      </c>
      <c r="H308">
        <v>1157.4000000000001</v>
      </c>
      <c r="I308" t="s">
        <v>23</v>
      </c>
    </row>
    <row r="309" spans="1:9">
      <c r="A309" t="s">
        <v>649</v>
      </c>
      <c r="B309" t="s">
        <v>650</v>
      </c>
      <c r="C309" t="s">
        <v>192</v>
      </c>
      <c r="D309" t="s">
        <v>12</v>
      </c>
      <c r="E309" t="s">
        <v>13</v>
      </c>
      <c r="F309">
        <v>2</v>
      </c>
      <c r="G309">
        <v>348.18</v>
      </c>
      <c r="H309">
        <v>696.36</v>
      </c>
      <c r="I309" t="s">
        <v>14</v>
      </c>
    </row>
    <row r="310" spans="1:9">
      <c r="A310" t="s">
        <v>651</v>
      </c>
      <c r="B310" t="s">
        <v>652</v>
      </c>
      <c r="C310" t="s">
        <v>127</v>
      </c>
      <c r="D310" t="s">
        <v>18</v>
      </c>
      <c r="E310" t="s">
        <v>19</v>
      </c>
      <c r="F310">
        <v>5</v>
      </c>
      <c r="G310">
        <v>821.6</v>
      </c>
      <c r="H310">
        <v>4108</v>
      </c>
      <c r="I310" t="s">
        <v>14</v>
      </c>
    </row>
    <row r="311" spans="1:9">
      <c r="A311" t="s">
        <v>653</v>
      </c>
      <c r="B311" t="s">
        <v>654</v>
      </c>
      <c r="C311" t="s">
        <v>343</v>
      </c>
      <c r="D311" t="s">
        <v>35</v>
      </c>
      <c r="E311" t="s">
        <v>13</v>
      </c>
      <c r="F311">
        <v>1</v>
      </c>
      <c r="G311">
        <v>316.8</v>
      </c>
      <c r="H311">
        <v>316.8</v>
      </c>
      <c r="I311" t="s">
        <v>47</v>
      </c>
    </row>
    <row r="312" spans="1:9">
      <c r="A312" t="s">
        <v>655</v>
      </c>
      <c r="B312" t="s">
        <v>656</v>
      </c>
      <c r="C312" t="s">
        <v>124</v>
      </c>
      <c r="D312" t="s">
        <v>12</v>
      </c>
      <c r="E312" t="s">
        <v>13</v>
      </c>
      <c r="F312">
        <v>2</v>
      </c>
      <c r="G312">
        <v>265.94</v>
      </c>
      <c r="H312">
        <v>531.88</v>
      </c>
      <c r="I312" t="s">
        <v>31</v>
      </c>
    </row>
    <row r="313" spans="1:9">
      <c r="A313" t="s">
        <v>657</v>
      </c>
      <c r="B313" t="s">
        <v>104</v>
      </c>
      <c r="C313" t="s">
        <v>62</v>
      </c>
      <c r="D313" t="s">
        <v>79</v>
      </c>
      <c r="E313" t="s">
        <v>52</v>
      </c>
      <c r="F313">
        <v>1</v>
      </c>
      <c r="G313">
        <v>822.22</v>
      </c>
      <c r="H313">
        <v>822.22</v>
      </c>
      <c r="I313" t="s">
        <v>23</v>
      </c>
    </row>
    <row r="314" spans="1:9">
      <c r="A314" t="s">
        <v>658</v>
      </c>
      <c r="B314" t="s">
        <v>292</v>
      </c>
      <c r="C314" t="s">
        <v>365</v>
      </c>
      <c r="D314" t="s">
        <v>35</v>
      </c>
      <c r="E314" t="s">
        <v>13</v>
      </c>
      <c r="F314">
        <v>2</v>
      </c>
      <c r="G314">
        <v>977.18</v>
      </c>
      <c r="H314">
        <v>1954.36</v>
      </c>
      <c r="I314" t="s">
        <v>23</v>
      </c>
    </row>
    <row r="315" spans="1:9">
      <c r="A315" t="s">
        <v>659</v>
      </c>
      <c r="B315" t="s">
        <v>594</v>
      </c>
      <c r="C315" t="s">
        <v>638</v>
      </c>
      <c r="D315" t="s">
        <v>30</v>
      </c>
      <c r="E315" t="s">
        <v>19</v>
      </c>
      <c r="F315">
        <v>2</v>
      </c>
      <c r="G315">
        <v>742.04</v>
      </c>
      <c r="H315">
        <v>1484.08</v>
      </c>
      <c r="I315" t="s">
        <v>23</v>
      </c>
    </row>
    <row r="316" spans="1:9">
      <c r="A316" t="s">
        <v>660</v>
      </c>
      <c r="B316" t="s">
        <v>282</v>
      </c>
      <c r="C316" t="s">
        <v>411</v>
      </c>
      <c r="D316" t="s">
        <v>39</v>
      </c>
      <c r="E316" t="s">
        <v>40</v>
      </c>
      <c r="F316">
        <v>4</v>
      </c>
      <c r="G316">
        <v>475.55</v>
      </c>
      <c r="H316">
        <v>1902.2</v>
      </c>
      <c r="I316" t="s">
        <v>14</v>
      </c>
    </row>
    <row r="317" spans="1:9">
      <c r="A317" t="s">
        <v>661</v>
      </c>
      <c r="B317" t="s">
        <v>544</v>
      </c>
      <c r="C317" t="s">
        <v>403</v>
      </c>
      <c r="D317" t="s">
        <v>51</v>
      </c>
      <c r="E317" t="s">
        <v>52</v>
      </c>
      <c r="F317">
        <v>5</v>
      </c>
      <c r="G317">
        <v>1148.71</v>
      </c>
      <c r="H317">
        <v>5743.55</v>
      </c>
      <c r="I317" t="s">
        <v>14</v>
      </c>
    </row>
    <row r="318" spans="1:9">
      <c r="A318" t="s">
        <v>662</v>
      </c>
      <c r="B318" t="s">
        <v>150</v>
      </c>
      <c r="C318" t="s">
        <v>249</v>
      </c>
      <c r="D318" t="s">
        <v>110</v>
      </c>
      <c r="E318" t="s">
        <v>52</v>
      </c>
      <c r="F318">
        <v>5</v>
      </c>
      <c r="G318">
        <v>908.77</v>
      </c>
      <c r="H318">
        <v>4543.8500000000004</v>
      </c>
      <c r="I318" t="s">
        <v>23</v>
      </c>
    </row>
    <row r="319" spans="1:9">
      <c r="A319" t="s">
        <v>663</v>
      </c>
      <c r="B319" t="s">
        <v>194</v>
      </c>
      <c r="C319" t="s">
        <v>529</v>
      </c>
      <c r="D319" t="s">
        <v>79</v>
      </c>
      <c r="E319" t="s">
        <v>52</v>
      </c>
      <c r="F319">
        <v>2</v>
      </c>
      <c r="G319">
        <v>912.43</v>
      </c>
      <c r="H319">
        <v>1824.86</v>
      </c>
      <c r="I319" t="s">
        <v>31</v>
      </c>
    </row>
    <row r="320" spans="1:9">
      <c r="A320" t="s">
        <v>664</v>
      </c>
      <c r="B320" t="s">
        <v>665</v>
      </c>
      <c r="C320" t="s">
        <v>118</v>
      </c>
      <c r="D320" t="s">
        <v>35</v>
      </c>
      <c r="E320" t="s">
        <v>13</v>
      </c>
      <c r="F320">
        <v>4</v>
      </c>
      <c r="G320">
        <v>1557.19</v>
      </c>
      <c r="H320">
        <v>6228.76</v>
      </c>
      <c r="I320" t="s">
        <v>14</v>
      </c>
    </row>
    <row r="321" spans="1:9">
      <c r="A321" t="s">
        <v>666</v>
      </c>
      <c r="B321" t="s">
        <v>251</v>
      </c>
      <c r="C321" t="s">
        <v>231</v>
      </c>
      <c r="D321" t="s">
        <v>39</v>
      </c>
      <c r="E321" t="s">
        <v>40</v>
      </c>
      <c r="F321">
        <v>4</v>
      </c>
      <c r="G321">
        <v>1440.59</v>
      </c>
      <c r="H321">
        <v>5762.36</v>
      </c>
      <c r="I321" t="s">
        <v>23</v>
      </c>
    </row>
    <row r="322" spans="1:9">
      <c r="A322" t="s">
        <v>667</v>
      </c>
      <c r="B322" t="s">
        <v>188</v>
      </c>
      <c r="C322" t="s">
        <v>228</v>
      </c>
      <c r="D322" t="s">
        <v>51</v>
      </c>
      <c r="E322" t="s">
        <v>52</v>
      </c>
      <c r="F322">
        <v>3</v>
      </c>
      <c r="G322">
        <v>1386.94</v>
      </c>
      <c r="H322">
        <v>4160.82</v>
      </c>
      <c r="I322" t="s">
        <v>14</v>
      </c>
    </row>
    <row r="323" spans="1:9">
      <c r="A323" t="s">
        <v>668</v>
      </c>
      <c r="B323" t="s">
        <v>107</v>
      </c>
      <c r="C323" t="s">
        <v>102</v>
      </c>
      <c r="D323" t="s">
        <v>79</v>
      </c>
      <c r="E323" t="s">
        <v>52</v>
      </c>
      <c r="F323">
        <v>2</v>
      </c>
      <c r="G323">
        <v>565.08000000000004</v>
      </c>
      <c r="H323">
        <v>1130.1600000000001</v>
      </c>
      <c r="I323" t="s">
        <v>31</v>
      </c>
    </row>
    <row r="324" spans="1:9">
      <c r="A324" t="s">
        <v>669</v>
      </c>
      <c r="B324" t="s">
        <v>670</v>
      </c>
      <c r="C324" t="s">
        <v>449</v>
      </c>
      <c r="D324" t="s">
        <v>51</v>
      </c>
      <c r="E324" t="s">
        <v>52</v>
      </c>
      <c r="F324">
        <v>1</v>
      </c>
      <c r="G324">
        <v>1823.6</v>
      </c>
      <c r="H324">
        <v>1823.6</v>
      </c>
      <c r="I324" t="s">
        <v>47</v>
      </c>
    </row>
    <row r="325" spans="1:9">
      <c r="A325" t="s">
        <v>671</v>
      </c>
      <c r="B325" t="s">
        <v>526</v>
      </c>
      <c r="C325" t="s">
        <v>541</v>
      </c>
      <c r="D325" t="s">
        <v>79</v>
      </c>
      <c r="E325" t="s">
        <v>52</v>
      </c>
      <c r="F325">
        <v>5</v>
      </c>
      <c r="G325">
        <v>633.67999999999995</v>
      </c>
      <c r="H325">
        <v>3168.4</v>
      </c>
      <c r="I325" t="s">
        <v>14</v>
      </c>
    </row>
    <row r="326" spans="1:9">
      <c r="A326" t="s">
        <v>672</v>
      </c>
      <c r="B326" t="s">
        <v>640</v>
      </c>
      <c r="C326" t="s">
        <v>673</v>
      </c>
      <c r="D326" t="s">
        <v>39</v>
      </c>
      <c r="E326" t="s">
        <v>40</v>
      </c>
      <c r="F326">
        <v>1</v>
      </c>
      <c r="G326">
        <v>64.17</v>
      </c>
      <c r="H326">
        <v>64.17</v>
      </c>
      <c r="I326" t="s">
        <v>47</v>
      </c>
    </row>
    <row r="327" spans="1:9">
      <c r="A327" t="s">
        <v>674</v>
      </c>
      <c r="B327" t="s">
        <v>292</v>
      </c>
      <c r="C327" t="s">
        <v>449</v>
      </c>
      <c r="D327" t="s">
        <v>30</v>
      </c>
      <c r="E327" t="s">
        <v>19</v>
      </c>
      <c r="F327">
        <v>3</v>
      </c>
      <c r="G327">
        <v>992.8</v>
      </c>
      <c r="H327">
        <v>2978.4</v>
      </c>
      <c r="I327" t="s">
        <v>14</v>
      </c>
    </row>
    <row r="328" spans="1:9">
      <c r="A328" t="s">
        <v>675</v>
      </c>
      <c r="B328" t="s">
        <v>81</v>
      </c>
      <c r="C328" t="s">
        <v>361</v>
      </c>
      <c r="D328" t="s">
        <v>35</v>
      </c>
      <c r="E328" t="s">
        <v>13</v>
      </c>
      <c r="F328">
        <v>2</v>
      </c>
      <c r="G328">
        <v>1964.03</v>
      </c>
      <c r="H328">
        <v>3928.06</v>
      </c>
      <c r="I328" t="s">
        <v>47</v>
      </c>
    </row>
    <row r="329" spans="1:9">
      <c r="A329" t="s">
        <v>676</v>
      </c>
      <c r="B329" t="s">
        <v>677</v>
      </c>
      <c r="C329" t="s">
        <v>365</v>
      </c>
      <c r="D329" t="s">
        <v>35</v>
      </c>
      <c r="E329" t="s">
        <v>13</v>
      </c>
      <c r="F329">
        <v>4</v>
      </c>
      <c r="G329">
        <v>147.69</v>
      </c>
      <c r="H329">
        <v>590.76</v>
      </c>
      <c r="I329" t="s">
        <v>23</v>
      </c>
    </row>
    <row r="330" spans="1:9">
      <c r="A330" t="s">
        <v>678</v>
      </c>
      <c r="B330" t="s">
        <v>388</v>
      </c>
      <c r="C330" t="s">
        <v>679</v>
      </c>
      <c r="D330" t="s">
        <v>18</v>
      </c>
      <c r="E330" t="s">
        <v>19</v>
      </c>
      <c r="F330">
        <v>1</v>
      </c>
      <c r="G330">
        <v>550.35</v>
      </c>
      <c r="H330">
        <v>550.35</v>
      </c>
      <c r="I330" t="s">
        <v>14</v>
      </c>
    </row>
    <row r="331" spans="1:9">
      <c r="A331" t="s">
        <v>680</v>
      </c>
      <c r="B331" t="s">
        <v>489</v>
      </c>
      <c r="C331" t="s">
        <v>78</v>
      </c>
      <c r="D331" t="s">
        <v>12</v>
      </c>
      <c r="E331" t="s">
        <v>13</v>
      </c>
      <c r="F331">
        <v>1</v>
      </c>
      <c r="G331">
        <v>783.76</v>
      </c>
      <c r="H331">
        <v>783.76</v>
      </c>
      <c r="I331" t="s">
        <v>31</v>
      </c>
    </row>
    <row r="332" spans="1:9">
      <c r="A332" t="s">
        <v>681</v>
      </c>
      <c r="B332" t="s">
        <v>682</v>
      </c>
      <c r="C332" t="s">
        <v>17</v>
      </c>
      <c r="D332" t="s">
        <v>35</v>
      </c>
      <c r="E332" t="s">
        <v>13</v>
      </c>
      <c r="F332">
        <v>3</v>
      </c>
      <c r="G332">
        <v>1407.67</v>
      </c>
      <c r="H332">
        <v>4223.01</v>
      </c>
      <c r="I332" t="s">
        <v>14</v>
      </c>
    </row>
    <row r="333" spans="1:9">
      <c r="A333" t="s">
        <v>683</v>
      </c>
      <c r="B333" t="s">
        <v>458</v>
      </c>
      <c r="C333" t="s">
        <v>50</v>
      </c>
      <c r="D333" t="s">
        <v>18</v>
      </c>
      <c r="E333" t="s">
        <v>19</v>
      </c>
      <c r="F333">
        <v>5</v>
      </c>
      <c r="G333">
        <v>1794.09</v>
      </c>
      <c r="H333">
        <v>8970.4500000000007</v>
      </c>
      <c r="I333" t="s">
        <v>23</v>
      </c>
    </row>
    <row r="334" spans="1:9">
      <c r="A334" t="s">
        <v>684</v>
      </c>
      <c r="B334" t="s">
        <v>416</v>
      </c>
      <c r="C334" t="s">
        <v>201</v>
      </c>
      <c r="D334" t="s">
        <v>79</v>
      </c>
      <c r="E334" t="s">
        <v>52</v>
      </c>
      <c r="F334">
        <v>4</v>
      </c>
      <c r="G334">
        <v>964.91</v>
      </c>
      <c r="H334">
        <v>3859.64</v>
      </c>
      <c r="I334" t="s">
        <v>31</v>
      </c>
    </row>
    <row r="335" spans="1:9">
      <c r="A335" t="s">
        <v>685</v>
      </c>
      <c r="B335" t="s">
        <v>21</v>
      </c>
      <c r="C335" t="s">
        <v>231</v>
      </c>
      <c r="D335" t="s">
        <v>39</v>
      </c>
      <c r="E335" t="s">
        <v>40</v>
      </c>
      <c r="F335">
        <v>1</v>
      </c>
      <c r="G335">
        <v>1484.56</v>
      </c>
      <c r="H335">
        <v>1484.56</v>
      </c>
      <c r="I335" t="s">
        <v>23</v>
      </c>
    </row>
    <row r="336" spans="1:9">
      <c r="A336" t="s">
        <v>686</v>
      </c>
      <c r="B336" t="s">
        <v>616</v>
      </c>
      <c r="C336" t="s">
        <v>278</v>
      </c>
      <c r="D336" t="s">
        <v>39</v>
      </c>
      <c r="E336" t="s">
        <v>40</v>
      </c>
      <c r="F336">
        <v>1</v>
      </c>
      <c r="G336">
        <v>1674.44</v>
      </c>
      <c r="H336">
        <v>1674.44</v>
      </c>
      <c r="I336" t="s">
        <v>14</v>
      </c>
    </row>
    <row r="337" spans="1:9">
      <c r="A337" t="s">
        <v>687</v>
      </c>
      <c r="B337" t="s">
        <v>594</v>
      </c>
      <c r="C337" t="s">
        <v>688</v>
      </c>
      <c r="D337" t="s">
        <v>18</v>
      </c>
      <c r="E337" t="s">
        <v>19</v>
      </c>
      <c r="F337">
        <v>4</v>
      </c>
      <c r="G337">
        <v>1783.07</v>
      </c>
      <c r="H337">
        <v>7132.28</v>
      </c>
      <c r="I337" t="s">
        <v>31</v>
      </c>
    </row>
    <row r="338" spans="1:9">
      <c r="A338" t="s">
        <v>689</v>
      </c>
      <c r="B338" t="s">
        <v>690</v>
      </c>
      <c r="C338" t="s">
        <v>55</v>
      </c>
      <c r="D338" t="s">
        <v>30</v>
      </c>
      <c r="E338" t="s">
        <v>19</v>
      </c>
      <c r="F338">
        <v>4</v>
      </c>
      <c r="G338">
        <v>160.54</v>
      </c>
      <c r="H338">
        <v>642.16</v>
      </c>
      <c r="I338" t="s">
        <v>31</v>
      </c>
    </row>
    <row r="339" spans="1:9">
      <c r="A339" t="s">
        <v>691</v>
      </c>
      <c r="B339" t="s">
        <v>355</v>
      </c>
      <c r="C339" t="s">
        <v>408</v>
      </c>
      <c r="D339" t="s">
        <v>79</v>
      </c>
      <c r="E339" t="s">
        <v>52</v>
      </c>
      <c r="F339">
        <v>4</v>
      </c>
      <c r="G339">
        <v>1094.5</v>
      </c>
      <c r="H339">
        <v>4378</v>
      </c>
      <c r="I339" t="s">
        <v>31</v>
      </c>
    </row>
    <row r="340" spans="1:9">
      <c r="A340" t="s">
        <v>692</v>
      </c>
      <c r="B340" t="s">
        <v>264</v>
      </c>
      <c r="C340" t="s">
        <v>140</v>
      </c>
      <c r="D340" t="s">
        <v>12</v>
      </c>
      <c r="E340" t="s">
        <v>13</v>
      </c>
      <c r="F340">
        <v>1</v>
      </c>
      <c r="G340">
        <v>687.13</v>
      </c>
      <c r="H340">
        <v>687.13</v>
      </c>
      <c r="I340" t="s">
        <v>14</v>
      </c>
    </row>
    <row r="341" spans="1:9">
      <c r="A341" t="s">
        <v>693</v>
      </c>
      <c r="B341" t="s">
        <v>628</v>
      </c>
      <c r="C341" t="s">
        <v>208</v>
      </c>
      <c r="D341" t="s">
        <v>51</v>
      </c>
      <c r="E341" t="s">
        <v>52</v>
      </c>
      <c r="F341">
        <v>5</v>
      </c>
      <c r="G341">
        <v>473.53</v>
      </c>
      <c r="H341">
        <v>2367.65</v>
      </c>
      <c r="I341" t="s">
        <v>14</v>
      </c>
    </row>
    <row r="342" spans="1:9">
      <c r="A342" t="s">
        <v>694</v>
      </c>
      <c r="B342" t="s">
        <v>33</v>
      </c>
      <c r="C342" t="s">
        <v>113</v>
      </c>
      <c r="D342" t="s">
        <v>79</v>
      </c>
      <c r="E342" t="s">
        <v>52</v>
      </c>
      <c r="F342">
        <v>2</v>
      </c>
      <c r="G342">
        <v>1677.77</v>
      </c>
      <c r="H342">
        <v>3355.54</v>
      </c>
      <c r="I342" t="s">
        <v>47</v>
      </c>
    </row>
    <row r="343" spans="1:9">
      <c r="A343" t="s">
        <v>695</v>
      </c>
      <c r="B343" t="s">
        <v>696</v>
      </c>
      <c r="C343" t="s">
        <v>135</v>
      </c>
      <c r="D343" t="s">
        <v>51</v>
      </c>
      <c r="E343" t="s">
        <v>52</v>
      </c>
      <c r="F343">
        <v>3</v>
      </c>
      <c r="G343">
        <v>1048.4000000000001</v>
      </c>
      <c r="H343">
        <v>3145.2</v>
      </c>
      <c r="I343" t="s">
        <v>47</v>
      </c>
    </row>
    <row r="344" spans="1:9">
      <c r="A344" t="s">
        <v>697</v>
      </c>
      <c r="B344" t="s">
        <v>628</v>
      </c>
      <c r="C344" t="s">
        <v>555</v>
      </c>
      <c r="D344" t="s">
        <v>79</v>
      </c>
      <c r="E344" t="s">
        <v>52</v>
      </c>
      <c r="F344">
        <v>4</v>
      </c>
      <c r="G344">
        <v>638.22</v>
      </c>
      <c r="H344">
        <v>2552.88</v>
      </c>
      <c r="I344" t="s">
        <v>14</v>
      </c>
    </row>
    <row r="345" spans="1:9">
      <c r="A345" t="s">
        <v>698</v>
      </c>
      <c r="B345" t="s">
        <v>253</v>
      </c>
      <c r="C345" t="s">
        <v>358</v>
      </c>
      <c r="D345" t="s">
        <v>39</v>
      </c>
      <c r="E345" t="s">
        <v>40</v>
      </c>
      <c r="F345">
        <v>5</v>
      </c>
      <c r="G345">
        <v>1374.47</v>
      </c>
      <c r="H345">
        <v>6872.35</v>
      </c>
      <c r="I345" t="s">
        <v>31</v>
      </c>
    </row>
    <row r="346" spans="1:9">
      <c r="A346" t="s">
        <v>699</v>
      </c>
      <c r="B346" t="s">
        <v>315</v>
      </c>
      <c r="C346" t="s">
        <v>55</v>
      </c>
      <c r="D346" t="s">
        <v>51</v>
      </c>
      <c r="E346" t="s">
        <v>52</v>
      </c>
      <c r="F346">
        <v>1</v>
      </c>
      <c r="G346">
        <v>1130.02</v>
      </c>
      <c r="H346">
        <v>1130.02</v>
      </c>
      <c r="I346" t="s">
        <v>23</v>
      </c>
    </row>
    <row r="347" spans="1:9">
      <c r="A347" t="s">
        <v>700</v>
      </c>
      <c r="B347" t="s">
        <v>701</v>
      </c>
      <c r="C347" t="s">
        <v>172</v>
      </c>
      <c r="D347" t="s">
        <v>30</v>
      </c>
      <c r="E347" t="s">
        <v>19</v>
      </c>
      <c r="F347">
        <v>4</v>
      </c>
      <c r="G347">
        <v>913.77</v>
      </c>
      <c r="H347">
        <v>3655.08</v>
      </c>
      <c r="I347" t="s">
        <v>23</v>
      </c>
    </row>
    <row r="348" spans="1:9">
      <c r="A348" t="s">
        <v>702</v>
      </c>
      <c r="B348" t="s">
        <v>331</v>
      </c>
      <c r="C348" t="s">
        <v>183</v>
      </c>
      <c r="D348" t="s">
        <v>59</v>
      </c>
      <c r="E348" t="s">
        <v>40</v>
      </c>
      <c r="F348">
        <v>1</v>
      </c>
      <c r="G348">
        <v>1283.43</v>
      </c>
      <c r="H348">
        <v>1283.43</v>
      </c>
      <c r="I348" t="s">
        <v>47</v>
      </c>
    </row>
    <row r="349" spans="1:9">
      <c r="A349" t="s">
        <v>703</v>
      </c>
      <c r="B349" t="s">
        <v>704</v>
      </c>
      <c r="C349" t="s">
        <v>494</v>
      </c>
      <c r="D349" t="s">
        <v>30</v>
      </c>
      <c r="E349" t="s">
        <v>19</v>
      </c>
      <c r="F349">
        <v>4</v>
      </c>
      <c r="G349">
        <v>1009.09</v>
      </c>
      <c r="H349">
        <v>4036.36</v>
      </c>
      <c r="I349" t="s">
        <v>31</v>
      </c>
    </row>
    <row r="350" spans="1:9">
      <c r="A350" t="s">
        <v>705</v>
      </c>
      <c r="B350" t="s">
        <v>706</v>
      </c>
      <c r="C350" t="s">
        <v>189</v>
      </c>
      <c r="D350" t="s">
        <v>39</v>
      </c>
      <c r="E350" t="s">
        <v>40</v>
      </c>
      <c r="F350">
        <v>4</v>
      </c>
      <c r="G350">
        <v>188.88</v>
      </c>
      <c r="H350">
        <v>755.52</v>
      </c>
      <c r="I350" t="s">
        <v>23</v>
      </c>
    </row>
    <row r="351" spans="1:9">
      <c r="A351" t="s">
        <v>707</v>
      </c>
      <c r="B351" t="s">
        <v>64</v>
      </c>
      <c r="C351" t="s">
        <v>365</v>
      </c>
      <c r="D351" t="s">
        <v>110</v>
      </c>
      <c r="E351" t="s">
        <v>52</v>
      </c>
      <c r="F351">
        <v>2</v>
      </c>
      <c r="G351">
        <v>267.32</v>
      </c>
      <c r="H351">
        <v>534.64</v>
      </c>
      <c r="I351" t="s">
        <v>47</v>
      </c>
    </row>
    <row r="352" spans="1:9">
      <c r="A352" t="s">
        <v>708</v>
      </c>
      <c r="B352" t="s">
        <v>280</v>
      </c>
      <c r="C352" t="s">
        <v>278</v>
      </c>
      <c r="D352" t="s">
        <v>59</v>
      </c>
      <c r="E352" t="s">
        <v>40</v>
      </c>
      <c r="F352">
        <v>5</v>
      </c>
      <c r="G352">
        <v>1831.87</v>
      </c>
      <c r="H352">
        <v>9159.35</v>
      </c>
      <c r="I352" t="s">
        <v>23</v>
      </c>
    </row>
    <row r="353" spans="1:9">
      <c r="A353" t="s">
        <v>709</v>
      </c>
      <c r="B353" t="s">
        <v>10</v>
      </c>
      <c r="C353" t="s">
        <v>135</v>
      </c>
      <c r="D353" t="s">
        <v>79</v>
      </c>
      <c r="E353" t="s">
        <v>52</v>
      </c>
      <c r="F353">
        <v>4</v>
      </c>
      <c r="G353">
        <v>152.4</v>
      </c>
      <c r="H353">
        <v>609.6</v>
      </c>
      <c r="I353" t="s">
        <v>47</v>
      </c>
    </row>
    <row r="354" spans="1:9">
      <c r="A354" t="s">
        <v>710</v>
      </c>
      <c r="B354" t="s">
        <v>289</v>
      </c>
      <c r="C354" t="s">
        <v>449</v>
      </c>
      <c r="D354" t="s">
        <v>51</v>
      </c>
      <c r="E354" t="s">
        <v>52</v>
      </c>
      <c r="F354">
        <v>2</v>
      </c>
      <c r="G354">
        <v>392.13</v>
      </c>
      <c r="H354">
        <v>784.26</v>
      </c>
      <c r="I354" t="s">
        <v>31</v>
      </c>
    </row>
    <row r="355" spans="1:9">
      <c r="A355" t="s">
        <v>711</v>
      </c>
      <c r="B355" t="s">
        <v>134</v>
      </c>
      <c r="C355" t="s">
        <v>246</v>
      </c>
      <c r="D355" t="s">
        <v>12</v>
      </c>
      <c r="E355" t="s">
        <v>13</v>
      </c>
      <c r="F355">
        <v>2</v>
      </c>
      <c r="G355">
        <v>499.83</v>
      </c>
      <c r="H355">
        <v>999.66</v>
      </c>
      <c r="I355" t="s">
        <v>23</v>
      </c>
    </row>
    <row r="356" spans="1:9">
      <c r="A356" t="s">
        <v>712</v>
      </c>
      <c r="B356" t="s">
        <v>713</v>
      </c>
      <c r="C356" t="s">
        <v>183</v>
      </c>
      <c r="D356" t="s">
        <v>39</v>
      </c>
      <c r="E356" t="s">
        <v>40</v>
      </c>
      <c r="F356">
        <v>1</v>
      </c>
      <c r="G356">
        <v>715.82</v>
      </c>
      <c r="H356">
        <v>715.82</v>
      </c>
      <c r="I356" t="s">
        <v>14</v>
      </c>
    </row>
    <row r="357" spans="1:9">
      <c r="A357" t="s">
        <v>714</v>
      </c>
      <c r="B357" t="s">
        <v>233</v>
      </c>
      <c r="C357" t="s">
        <v>343</v>
      </c>
      <c r="D357" t="s">
        <v>51</v>
      </c>
      <c r="E357" t="s">
        <v>52</v>
      </c>
      <c r="F357">
        <v>4</v>
      </c>
      <c r="G357">
        <v>516.84</v>
      </c>
      <c r="H357">
        <v>2067.36</v>
      </c>
      <c r="I357" t="s">
        <v>14</v>
      </c>
    </row>
    <row r="358" spans="1:9">
      <c r="A358" t="s">
        <v>715</v>
      </c>
      <c r="B358" t="s">
        <v>49</v>
      </c>
      <c r="C358" t="s">
        <v>55</v>
      </c>
      <c r="D358" t="s">
        <v>51</v>
      </c>
      <c r="E358" t="s">
        <v>52</v>
      </c>
      <c r="F358">
        <v>2</v>
      </c>
      <c r="G358">
        <v>658.61</v>
      </c>
      <c r="H358">
        <v>1317.22</v>
      </c>
      <c r="I358" t="s">
        <v>47</v>
      </c>
    </row>
    <row r="359" spans="1:9">
      <c r="A359" t="s">
        <v>716</v>
      </c>
      <c r="B359" t="s">
        <v>717</v>
      </c>
      <c r="C359" t="s">
        <v>70</v>
      </c>
      <c r="D359" t="s">
        <v>12</v>
      </c>
      <c r="E359" t="s">
        <v>13</v>
      </c>
      <c r="F359">
        <v>3</v>
      </c>
      <c r="G359">
        <v>595.96</v>
      </c>
      <c r="H359">
        <v>1787.88</v>
      </c>
      <c r="I359" t="s">
        <v>23</v>
      </c>
    </row>
    <row r="360" spans="1:9">
      <c r="A360" t="s">
        <v>718</v>
      </c>
      <c r="B360" t="s">
        <v>289</v>
      </c>
      <c r="C360" t="s">
        <v>105</v>
      </c>
      <c r="D360" t="s">
        <v>39</v>
      </c>
      <c r="E360" t="s">
        <v>40</v>
      </c>
      <c r="F360">
        <v>3</v>
      </c>
      <c r="G360">
        <v>56.54</v>
      </c>
      <c r="H360">
        <v>169.62</v>
      </c>
      <c r="I360" t="s">
        <v>31</v>
      </c>
    </row>
    <row r="361" spans="1:9">
      <c r="A361" t="s">
        <v>719</v>
      </c>
      <c r="B361" t="s">
        <v>720</v>
      </c>
      <c r="C361" t="s">
        <v>721</v>
      </c>
      <c r="D361" t="s">
        <v>18</v>
      </c>
      <c r="E361" t="s">
        <v>19</v>
      </c>
      <c r="F361">
        <v>2</v>
      </c>
      <c r="G361">
        <v>1822.8</v>
      </c>
      <c r="H361">
        <v>3645.6</v>
      </c>
      <c r="I361" t="s">
        <v>31</v>
      </c>
    </row>
    <row r="362" spans="1:9">
      <c r="A362" t="s">
        <v>722</v>
      </c>
      <c r="B362" t="s">
        <v>583</v>
      </c>
      <c r="C362" t="s">
        <v>228</v>
      </c>
      <c r="D362" t="s">
        <v>51</v>
      </c>
      <c r="E362" t="s">
        <v>52</v>
      </c>
      <c r="F362">
        <v>1</v>
      </c>
      <c r="G362">
        <v>1039.9100000000001</v>
      </c>
      <c r="H362">
        <v>1039.9100000000001</v>
      </c>
      <c r="I362" t="s">
        <v>23</v>
      </c>
    </row>
    <row r="363" spans="1:9">
      <c r="A363" t="s">
        <v>723</v>
      </c>
      <c r="B363" t="s">
        <v>645</v>
      </c>
      <c r="C363" t="s">
        <v>614</v>
      </c>
      <c r="D363" t="s">
        <v>18</v>
      </c>
      <c r="E363" t="s">
        <v>19</v>
      </c>
      <c r="F363">
        <v>2</v>
      </c>
      <c r="G363">
        <v>410.35</v>
      </c>
      <c r="H363">
        <v>820.7</v>
      </c>
      <c r="I363" t="s">
        <v>14</v>
      </c>
    </row>
    <row r="364" spans="1:9">
      <c r="A364" t="s">
        <v>724</v>
      </c>
      <c r="B364" t="s">
        <v>536</v>
      </c>
      <c r="C364" t="s">
        <v>456</v>
      </c>
      <c r="D364" t="s">
        <v>110</v>
      </c>
      <c r="E364" t="s">
        <v>52</v>
      </c>
      <c r="F364">
        <v>3</v>
      </c>
      <c r="G364">
        <v>436.48</v>
      </c>
      <c r="H364">
        <v>1309.44</v>
      </c>
      <c r="I364" t="s">
        <v>47</v>
      </c>
    </row>
    <row r="365" spans="1:9">
      <c r="A365" t="s">
        <v>725</v>
      </c>
      <c r="B365" t="s">
        <v>726</v>
      </c>
      <c r="C365" t="s">
        <v>721</v>
      </c>
      <c r="D365" t="s">
        <v>79</v>
      </c>
      <c r="E365" t="s">
        <v>52</v>
      </c>
      <c r="F365">
        <v>4</v>
      </c>
      <c r="G365">
        <v>764.23</v>
      </c>
      <c r="H365">
        <v>3056.92</v>
      </c>
      <c r="I365" t="s">
        <v>23</v>
      </c>
    </row>
    <row r="366" spans="1:9">
      <c r="A366" t="s">
        <v>727</v>
      </c>
      <c r="B366" t="s">
        <v>656</v>
      </c>
      <c r="C366" t="s">
        <v>34</v>
      </c>
      <c r="D366" t="s">
        <v>35</v>
      </c>
      <c r="E366" t="s">
        <v>13</v>
      </c>
      <c r="F366">
        <v>2</v>
      </c>
      <c r="G366">
        <v>612.17999999999995</v>
      </c>
      <c r="H366">
        <v>1224.3599999999999</v>
      </c>
      <c r="I366" t="s">
        <v>14</v>
      </c>
    </row>
    <row r="367" spans="1:9">
      <c r="A367" t="s">
        <v>728</v>
      </c>
      <c r="B367" t="s">
        <v>729</v>
      </c>
      <c r="C367" t="s">
        <v>422</v>
      </c>
      <c r="D367" t="s">
        <v>51</v>
      </c>
      <c r="E367" t="s">
        <v>52</v>
      </c>
      <c r="F367">
        <v>1</v>
      </c>
      <c r="G367">
        <v>1718.87</v>
      </c>
      <c r="H367">
        <v>1718.87</v>
      </c>
      <c r="I367" t="s">
        <v>31</v>
      </c>
    </row>
    <row r="368" spans="1:9">
      <c r="A368" t="s">
        <v>730</v>
      </c>
      <c r="B368" t="s">
        <v>352</v>
      </c>
      <c r="C368" t="s">
        <v>494</v>
      </c>
      <c r="D368" t="s">
        <v>12</v>
      </c>
      <c r="E368" t="s">
        <v>13</v>
      </c>
      <c r="F368">
        <v>1</v>
      </c>
      <c r="G368">
        <v>826.76</v>
      </c>
      <c r="H368">
        <v>826.76</v>
      </c>
      <c r="I368" t="s">
        <v>14</v>
      </c>
    </row>
    <row r="369" spans="1:9">
      <c r="A369" t="s">
        <v>731</v>
      </c>
      <c r="B369" t="s">
        <v>502</v>
      </c>
      <c r="C369" t="s">
        <v>414</v>
      </c>
      <c r="D369" t="s">
        <v>12</v>
      </c>
      <c r="E369" t="s">
        <v>13</v>
      </c>
      <c r="F369">
        <v>1</v>
      </c>
      <c r="G369">
        <v>692.9</v>
      </c>
      <c r="H369">
        <v>692.9</v>
      </c>
      <c r="I369" t="s">
        <v>31</v>
      </c>
    </row>
    <row r="370" spans="1:9">
      <c r="A370" t="s">
        <v>732</v>
      </c>
      <c r="B370" t="s">
        <v>117</v>
      </c>
      <c r="C370" t="s">
        <v>118</v>
      </c>
      <c r="D370" t="s">
        <v>110</v>
      </c>
      <c r="E370" t="s">
        <v>52</v>
      </c>
      <c r="F370">
        <v>2</v>
      </c>
      <c r="G370">
        <v>250.57</v>
      </c>
      <c r="H370">
        <v>501.14</v>
      </c>
      <c r="I370" t="s">
        <v>23</v>
      </c>
    </row>
    <row r="371" spans="1:9">
      <c r="A371" t="s">
        <v>733</v>
      </c>
      <c r="B371" t="s">
        <v>734</v>
      </c>
      <c r="C371" t="s">
        <v>403</v>
      </c>
      <c r="D371" t="s">
        <v>51</v>
      </c>
      <c r="E371" t="s">
        <v>52</v>
      </c>
      <c r="F371">
        <v>3</v>
      </c>
      <c r="G371">
        <v>1499.4</v>
      </c>
      <c r="H371">
        <v>4498.2</v>
      </c>
      <c r="I371" t="s">
        <v>23</v>
      </c>
    </row>
    <row r="372" spans="1:9">
      <c r="A372" t="s">
        <v>735</v>
      </c>
      <c r="B372" t="s">
        <v>270</v>
      </c>
      <c r="C372" t="s">
        <v>146</v>
      </c>
      <c r="D372" t="s">
        <v>79</v>
      </c>
      <c r="E372" t="s">
        <v>52</v>
      </c>
      <c r="F372">
        <v>2</v>
      </c>
      <c r="G372">
        <v>1085.27</v>
      </c>
      <c r="H372">
        <v>2170.54</v>
      </c>
      <c r="I372" t="s">
        <v>23</v>
      </c>
    </row>
    <row r="373" spans="1:9">
      <c r="A373" t="s">
        <v>736</v>
      </c>
      <c r="B373" t="s">
        <v>737</v>
      </c>
      <c r="C373" t="s">
        <v>172</v>
      </c>
      <c r="D373" t="s">
        <v>35</v>
      </c>
      <c r="E373" t="s">
        <v>13</v>
      </c>
      <c r="F373">
        <v>2</v>
      </c>
      <c r="G373">
        <v>609.5</v>
      </c>
      <c r="H373">
        <v>1219</v>
      </c>
      <c r="I373" t="s">
        <v>23</v>
      </c>
    </row>
    <row r="374" spans="1:9">
      <c r="A374" t="s">
        <v>738</v>
      </c>
      <c r="B374" t="s">
        <v>739</v>
      </c>
      <c r="C374" t="s">
        <v>313</v>
      </c>
      <c r="D374" t="s">
        <v>59</v>
      </c>
      <c r="E374" t="s">
        <v>40</v>
      </c>
      <c r="F374">
        <v>4</v>
      </c>
      <c r="G374">
        <v>997.1</v>
      </c>
      <c r="H374">
        <v>3988.4</v>
      </c>
      <c r="I374" t="s">
        <v>14</v>
      </c>
    </row>
    <row r="375" spans="1:9">
      <c r="A375" t="s">
        <v>740</v>
      </c>
      <c r="B375" t="s">
        <v>741</v>
      </c>
      <c r="C375" t="s">
        <v>26</v>
      </c>
      <c r="D375" t="s">
        <v>59</v>
      </c>
      <c r="E375" t="s">
        <v>40</v>
      </c>
      <c r="F375">
        <v>4</v>
      </c>
      <c r="G375">
        <v>374.82</v>
      </c>
      <c r="H375">
        <v>1499.28</v>
      </c>
      <c r="I375" t="s">
        <v>14</v>
      </c>
    </row>
    <row r="376" spans="1:9">
      <c r="A376" t="s">
        <v>742</v>
      </c>
      <c r="B376" t="s">
        <v>743</v>
      </c>
      <c r="C376" t="s">
        <v>210</v>
      </c>
      <c r="D376" t="s">
        <v>30</v>
      </c>
      <c r="E376" t="s">
        <v>19</v>
      </c>
      <c r="F376">
        <v>3</v>
      </c>
      <c r="G376">
        <v>1373.5</v>
      </c>
      <c r="H376">
        <v>4120.5</v>
      </c>
      <c r="I376" t="s">
        <v>14</v>
      </c>
    </row>
    <row r="377" spans="1:9">
      <c r="A377" t="s">
        <v>744</v>
      </c>
      <c r="B377" t="s">
        <v>745</v>
      </c>
      <c r="C377" t="s">
        <v>177</v>
      </c>
      <c r="D377" t="s">
        <v>35</v>
      </c>
      <c r="E377" t="s">
        <v>13</v>
      </c>
      <c r="F377">
        <v>4</v>
      </c>
      <c r="G377">
        <v>1357.25</v>
      </c>
      <c r="H377">
        <v>5429</v>
      </c>
      <c r="I377" t="s">
        <v>47</v>
      </c>
    </row>
    <row r="378" spans="1:9">
      <c r="A378" t="s">
        <v>746</v>
      </c>
      <c r="B378" t="s">
        <v>747</v>
      </c>
      <c r="C378" t="s">
        <v>192</v>
      </c>
      <c r="D378" t="s">
        <v>30</v>
      </c>
      <c r="E378" t="s">
        <v>19</v>
      </c>
      <c r="F378">
        <v>2</v>
      </c>
      <c r="G378">
        <v>1195.68</v>
      </c>
      <c r="H378">
        <v>2391.36</v>
      </c>
      <c r="I378" t="s">
        <v>23</v>
      </c>
    </row>
    <row r="379" spans="1:9">
      <c r="A379" t="s">
        <v>748</v>
      </c>
      <c r="B379" t="s">
        <v>749</v>
      </c>
      <c r="C379" t="s">
        <v>62</v>
      </c>
      <c r="D379" t="s">
        <v>30</v>
      </c>
      <c r="E379" t="s">
        <v>19</v>
      </c>
      <c r="F379">
        <v>5</v>
      </c>
      <c r="G379">
        <v>1085.3499999999999</v>
      </c>
      <c r="H379">
        <v>5426.75</v>
      </c>
      <c r="I379" t="s">
        <v>14</v>
      </c>
    </row>
    <row r="380" spans="1:9">
      <c r="A380" t="s">
        <v>750</v>
      </c>
      <c r="B380" t="s">
        <v>751</v>
      </c>
      <c r="C380" t="s">
        <v>752</v>
      </c>
      <c r="D380" t="s">
        <v>12</v>
      </c>
      <c r="E380" t="s">
        <v>13</v>
      </c>
      <c r="F380">
        <v>3</v>
      </c>
      <c r="G380">
        <v>50.3</v>
      </c>
      <c r="H380">
        <v>150.9</v>
      </c>
      <c r="I380" t="s">
        <v>14</v>
      </c>
    </row>
    <row r="381" spans="1:9">
      <c r="A381" t="s">
        <v>753</v>
      </c>
      <c r="B381" t="s">
        <v>152</v>
      </c>
      <c r="C381" t="s">
        <v>340</v>
      </c>
      <c r="D381" t="s">
        <v>39</v>
      </c>
      <c r="E381" t="s">
        <v>40</v>
      </c>
      <c r="F381">
        <v>5</v>
      </c>
      <c r="G381">
        <v>1618.59</v>
      </c>
      <c r="H381">
        <v>8092.95</v>
      </c>
      <c r="I381" t="s">
        <v>31</v>
      </c>
    </row>
    <row r="382" spans="1:9">
      <c r="A382" t="s">
        <v>754</v>
      </c>
      <c r="B382" t="s">
        <v>701</v>
      </c>
      <c r="C382" t="s">
        <v>82</v>
      </c>
      <c r="D382" t="s">
        <v>35</v>
      </c>
      <c r="E382" t="s">
        <v>13</v>
      </c>
      <c r="F382">
        <v>2</v>
      </c>
      <c r="G382">
        <v>392.51</v>
      </c>
      <c r="H382">
        <v>785.02</v>
      </c>
      <c r="I382" t="s">
        <v>31</v>
      </c>
    </row>
    <row r="383" spans="1:9">
      <c r="A383" t="s">
        <v>755</v>
      </c>
      <c r="B383" t="s">
        <v>171</v>
      </c>
      <c r="C383" t="s">
        <v>143</v>
      </c>
      <c r="D383" t="s">
        <v>12</v>
      </c>
      <c r="E383" t="s">
        <v>13</v>
      </c>
      <c r="F383">
        <v>5</v>
      </c>
      <c r="G383">
        <v>485.96</v>
      </c>
      <c r="H383">
        <v>2429.8000000000002</v>
      </c>
      <c r="I383" t="s">
        <v>47</v>
      </c>
    </row>
    <row r="384" spans="1:9">
      <c r="A384" t="s">
        <v>756</v>
      </c>
      <c r="B384" t="s">
        <v>640</v>
      </c>
      <c r="C384" t="s">
        <v>153</v>
      </c>
      <c r="D384" t="s">
        <v>51</v>
      </c>
      <c r="E384" t="s">
        <v>52</v>
      </c>
      <c r="F384">
        <v>2</v>
      </c>
      <c r="G384">
        <v>1805.2</v>
      </c>
      <c r="H384">
        <v>3610.4</v>
      </c>
      <c r="I384" t="s">
        <v>31</v>
      </c>
    </row>
    <row r="385" spans="1:9">
      <c r="A385" t="s">
        <v>757</v>
      </c>
      <c r="B385" t="s">
        <v>758</v>
      </c>
      <c r="C385" t="s">
        <v>408</v>
      </c>
      <c r="D385" t="s">
        <v>35</v>
      </c>
      <c r="E385" t="s">
        <v>13</v>
      </c>
      <c r="F385">
        <v>3</v>
      </c>
      <c r="G385">
        <v>220.19</v>
      </c>
      <c r="H385">
        <v>660.57</v>
      </c>
      <c r="I385" t="s">
        <v>14</v>
      </c>
    </row>
    <row r="386" spans="1:9">
      <c r="A386" t="s">
        <v>759</v>
      </c>
      <c r="B386" t="s">
        <v>760</v>
      </c>
      <c r="C386" t="s">
        <v>496</v>
      </c>
      <c r="D386" t="s">
        <v>18</v>
      </c>
      <c r="E386" t="s">
        <v>19</v>
      </c>
      <c r="F386">
        <v>4</v>
      </c>
      <c r="G386">
        <v>532.22</v>
      </c>
      <c r="H386">
        <v>2128.88</v>
      </c>
      <c r="I386" t="s">
        <v>31</v>
      </c>
    </row>
    <row r="387" spans="1:9">
      <c r="A387" t="s">
        <v>761</v>
      </c>
      <c r="B387" t="s">
        <v>57</v>
      </c>
      <c r="C387" t="s">
        <v>762</v>
      </c>
      <c r="D387" t="s">
        <v>35</v>
      </c>
      <c r="E387" t="s">
        <v>13</v>
      </c>
      <c r="F387">
        <v>5</v>
      </c>
      <c r="G387">
        <v>777.2</v>
      </c>
      <c r="H387">
        <v>3886</v>
      </c>
      <c r="I387" t="s">
        <v>23</v>
      </c>
    </row>
    <row r="388" spans="1:9">
      <c r="A388" t="s">
        <v>763</v>
      </c>
      <c r="B388" t="s">
        <v>764</v>
      </c>
      <c r="C388" t="s">
        <v>55</v>
      </c>
      <c r="D388" t="s">
        <v>51</v>
      </c>
      <c r="E388" t="s">
        <v>52</v>
      </c>
      <c r="F388">
        <v>4</v>
      </c>
      <c r="G388">
        <v>1221.47</v>
      </c>
      <c r="H388">
        <v>4885.88</v>
      </c>
      <c r="I388" t="s">
        <v>23</v>
      </c>
    </row>
    <row r="389" spans="1:9">
      <c r="A389" t="s">
        <v>765</v>
      </c>
      <c r="B389" t="s">
        <v>766</v>
      </c>
      <c r="C389" t="s">
        <v>498</v>
      </c>
      <c r="D389" t="s">
        <v>110</v>
      </c>
      <c r="E389" t="s">
        <v>52</v>
      </c>
      <c r="F389">
        <v>5</v>
      </c>
      <c r="G389">
        <v>1239.8499999999999</v>
      </c>
      <c r="H389">
        <v>6199.25</v>
      </c>
      <c r="I389" t="s">
        <v>47</v>
      </c>
    </row>
    <row r="390" spans="1:9">
      <c r="A390" t="s">
        <v>767</v>
      </c>
      <c r="B390" t="s">
        <v>768</v>
      </c>
      <c r="C390" t="s">
        <v>414</v>
      </c>
      <c r="D390" t="s">
        <v>12</v>
      </c>
      <c r="E390" t="s">
        <v>13</v>
      </c>
      <c r="F390">
        <v>4</v>
      </c>
      <c r="G390">
        <v>642.65</v>
      </c>
      <c r="H390">
        <v>2570.6</v>
      </c>
      <c r="I390" t="s">
        <v>31</v>
      </c>
    </row>
    <row r="391" spans="1:9">
      <c r="A391" t="s">
        <v>769</v>
      </c>
      <c r="B391" t="s">
        <v>729</v>
      </c>
      <c r="C391" t="s">
        <v>337</v>
      </c>
      <c r="D391" t="s">
        <v>110</v>
      </c>
      <c r="E391" t="s">
        <v>52</v>
      </c>
      <c r="F391">
        <v>3</v>
      </c>
      <c r="G391">
        <v>1783.58</v>
      </c>
      <c r="H391">
        <v>5350.74</v>
      </c>
      <c r="I391" t="s">
        <v>47</v>
      </c>
    </row>
    <row r="392" spans="1:9">
      <c r="A392" t="s">
        <v>770</v>
      </c>
      <c r="B392" t="s">
        <v>771</v>
      </c>
      <c r="C392" t="s">
        <v>140</v>
      </c>
      <c r="D392" t="s">
        <v>59</v>
      </c>
      <c r="E392" t="s">
        <v>40</v>
      </c>
      <c r="F392">
        <v>5</v>
      </c>
      <c r="G392">
        <v>928.39</v>
      </c>
      <c r="H392">
        <v>4641.95</v>
      </c>
      <c r="I392" t="s">
        <v>14</v>
      </c>
    </row>
    <row r="393" spans="1:9">
      <c r="A393" t="s">
        <v>772</v>
      </c>
      <c r="B393" t="s">
        <v>16</v>
      </c>
      <c r="C393" t="s">
        <v>226</v>
      </c>
      <c r="D393" t="s">
        <v>39</v>
      </c>
      <c r="E393" t="s">
        <v>40</v>
      </c>
      <c r="F393">
        <v>4</v>
      </c>
      <c r="G393">
        <v>377.09</v>
      </c>
      <c r="H393">
        <v>1508.36</v>
      </c>
      <c r="I393" t="s">
        <v>23</v>
      </c>
    </row>
    <row r="394" spans="1:9">
      <c r="A394" t="s">
        <v>773</v>
      </c>
      <c r="B394" t="s">
        <v>152</v>
      </c>
      <c r="C394" t="s">
        <v>11</v>
      </c>
      <c r="D394" t="s">
        <v>18</v>
      </c>
      <c r="E394" t="s">
        <v>19</v>
      </c>
      <c r="F394">
        <v>3</v>
      </c>
      <c r="G394">
        <v>1617.5</v>
      </c>
      <c r="H394">
        <v>4852.5</v>
      </c>
      <c r="I394" t="s">
        <v>23</v>
      </c>
    </row>
    <row r="395" spans="1:9">
      <c r="A395" t="s">
        <v>774</v>
      </c>
      <c r="B395" t="s">
        <v>775</v>
      </c>
      <c r="C395" t="s">
        <v>62</v>
      </c>
      <c r="D395" t="s">
        <v>59</v>
      </c>
      <c r="E395" t="s">
        <v>40</v>
      </c>
      <c r="F395">
        <v>4</v>
      </c>
      <c r="G395">
        <v>416.54</v>
      </c>
      <c r="H395">
        <v>1666.16</v>
      </c>
      <c r="I395" t="s">
        <v>23</v>
      </c>
    </row>
    <row r="396" spans="1:9">
      <c r="A396" t="s">
        <v>776</v>
      </c>
      <c r="B396" t="s">
        <v>677</v>
      </c>
      <c r="C396" t="s">
        <v>43</v>
      </c>
      <c r="D396" t="s">
        <v>30</v>
      </c>
      <c r="E396" t="s">
        <v>19</v>
      </c>
      <c r="F396">
        <v>1</v>
      </c>
      <c r="G396">
        <v>1905.11</v>
      </c>
      <c r="H396">
        <v>1905.11</v>
      </c>
      <c r="I396" t="s">
        <v>14</v>
      </c>
    </row>
    <row r="397" spans="1:9">
      <c r="A397" t="s">
        <v>777</v>
      </c>
      <c r="B397" t="s">
        <v>145</v>
      </c>
      <c r="C397" t="s">
        <v>26</v>
      </c>
      <c r="D397" t="s">
        <v>35</v>
      </c>
      <c r="E397" t="s">
        <v>13</v>
      </c>
      <c r="F397">
        <v>2</v>
      </c>
      <c r="G397">
        <v>942.12</v>
      </c>
      <c r="H397">
        <v>1884.24</v>
      </c>
      <c r="I397" t="s">
        <v>14</v>
      </c>
    </row>
    <row r="398" spans="1:9">
      <c r="A398" t="s">
        <v>778</v>
      </c>
      <c r="B398" t="s">
        <v>312</v>
      </c>
      <c r="C398" t="s">
        <v>283</v>
      </c>
      <c r="D398" t="s">
        <v>30</v>
      </c>
      <c r="E398" t="s">
        <v>19</v>
      </c>
      <c r="F398">
        <v>5</v>
      </c>
      <c r="G398">
        <v>1484.3</v>
      </c>
      <c r="H398">
        <v>7421.5</v>
      </c>
      <c r="I398" t="s">
        <v>47</v>
      </c>
    </row>
    <row r="399" spans="1:9">
      <c r="A399" t="s">
        <v>779</v>
      </c>
      <c r="B399" t="s">
        <v>440</v>
      </c>
      <c r="C399" t="s">
        <v>96</v>
      </c>
      <c r="D399" t="s">
        <v>30</v>
      </c>
      <c r="E399" t="s">
        <v>19</v>
      </c>
      <c r="F399">
        <v>3</v>
      </c>
      <c r="G399">
        <v>628.34</v>
      </c>
      <c r="H399">
        <v>1885.02</v>
      </c>
      <c r="I399" t="s">
        <v>14</v>
      </c>
    </row>
    <row r="400" spans="1:9">
      <c r="A400" t="s">
        <v>780</v>
      </c>
      <c r="B400" t="s">
        <v>21</v>
      </c>
      <c r="C400" t="s">
        <v>121</v>
      </c>
      <c r="D400" t="s">
        <v>35</v>
      </c>
      <c r="E400" t="s">
        <v>13</v>
      </c>
      <c r="F400">
        <v>1</v>
      </c>
      <c r="G400">
        <v>1828.47</v>
      </c>
      <c r="H400">
        <v>1828.47</v>
      </c>
      <c r="I400" t="s">
        <v>47</v>
      </c>
    </row>
    <row r="401" spans="1:9">
      <c r="A401" t="s">
        <v>781</v>
      </c>
      <c r="B401" t="s">
        <v>782</v>
      </c>
      <c r="C401" t="s">
        <v>127</v>
      </c>
      <c r="D401" t="s">
        <v>12</v>
      </c>
      <c r="E401" t="s">
        <v>13</v>
      </c>
      <c r="F401">
        <v>1</v>
      </c>
      <c r="G401">
        <v>554.70000000000005</v>
      </c>
      <c r="H401">
        <v>554.70000000000005</v>
      </c>
      <c r="I401" t="s">
        <v>47</v>
      </c>
    </row>
    <row r="402" spans="1:9">
      <c r="A402" t="s">
        <v>783</v>
      </c>
      <c r="B402" t="s">
        <v>305</v>
      </c>
      <c r="C402" t="s">
        <v>82</v>
      </c>
      <c r="D402" t="s">
        <v>59</v>
      </c>
      <c r="E402" t="s">
        <v>40</v>
      </c>
      <c r="F402">
        <v>3</v>
      </c>
      <c r="G402">
        <v>1442.74</v>
      </c>
      <c r="H402">
        <v>4328.22</v>
      </c>
      <c r="I402" t="s">
        <v>23</v>
      </c>
    </row>
    <row r="403" spans="1:9">
      <c r="A403" t="s">
        <v>784</v>
      </c>
      <c r="B403" t="s">
        <v>785</v>
      </c>
      <c r="C403" t="s">
        <v>449</v>
      </c>
      <c r="D403" t="s">
        <v>51</v>
      </c>
      <c r="E403" t="s">
        <v>52</v>
      </c>
      <c r="F403">
        <v>3</v>
      </c>
      <c r="G403">
        <v>647.75</v>
      </c>
      <c r="H403">
        <v>1943.25</v>
      </c>
      <c r="I403" t="s">
        <v>31</v>
      </c>
    </row>
    <row r="404" spans="1:9">
      <c r="A404" t="s">
        <v>786</v>
      </c>
      <c r="B404" t="s">
        <v>787</v>
      </c>
      <c r="C404" t="s">
        <v>591</v>
      </c>
      <c r="D404" t="s">
        <v>51</v>
      </c>
      <c r="E404" t="s">
        <v>52</v>
      </c>
      <c r="F404">
        <v>3</v>
      </c>
      <c r="G404">
        <v>407.89</v>
      </c>
      <c r="H404">
        <v>1223.67</v>
      </c>
      <c r="I404" t="s">
        <v>47</v>
      </c>
    </row>
    <row r="405" spans="1:9">
      <c r="A405" t="s">
        <v>788</v>
      </c>
      <c r="B405" t="s">
        <v>303</v>
      </c>
      <c r="C405" t="s">
        <v>249</v>
      </c>
      <c r="D405" t="s">
        <v>79</v>
      </c>
      <c r="E405" t="s">
        <v>52</v>
      </c>
      <c r="F405">
        <v>5</v>
      </c>
      <c r="G405">
        <v>938.7</v>
      </c>
      <c r="H405">
        <v>4693.5</v>
      </c>
      <c r="I405" t="s">
        <v>47</v>
      </c>
    </row>
    <row r="406" spans="1:9">
      <c r="A406" t="s">
        <v>789</v>
      </c>
      <c r="B406" t="s">
        <v>25</v>
      </c>
      <c r="C406" t="s">
        <v>90</v>
      </c>
      <c r="D406" t="s">
        <v>30</v>
      </c>
      <c r="E406" t="s">
        <v>19</v>
      </c>
      <c r="F406">
        <v>3</v>
      </c>
      <c r="G406">
        <v>452.36</v>
      </c>
      <c r="H406">
        <v>1357.08</v>
      </c>
      <c r="I406" t="s">
        <v>47</v>
      </c>
    </row>
    <row r="407" spans="1:9">
      <c r="A407" t="s">
        <v>790</v>
      </c>
      <c r="B407" t="s">
        <v>791</v>
      </c>
      <c r="C407" t="s">
        <v>96</v>
      </c>
      <c r="D407" t="s">
        <v>59</v>
      </c>
      <c r="E407" t="s">
        <v>40</v>
      </c>
      <c r="F407">
        <v>5</v>
      </c>
      <c r="G407">
        <v>764.58</v>
      </c>
      <c r="H407">
        <v>3822.9</v>
      </c>
      <c r="I407" t="s">
        <v>47</v>
      </c>
    </row>
    <row r="408" spans="1:9">
      <c r="A408" t="s">
        <v>792</v>
      </c>
      <c r="B408" t="s">
        <v>793</v>
      </c>
      <c r="C408" t="s">
        <v>276</v>
      </c>
      <c r="D408" t="s">
        <v>79</v>
      </c>
      <c r="E408" t="s">
        <v>52</v>
      </c>
      <c r="F408">
        <v>1</v>
      </c>
      <c r="G408">
        <v>1606.18</v>
      </c>
      <c r="H408">
        <v>1606.18</v>
      </c>
      <c r="I408" t="s">
        <v>23</v>
      </c>
    </row>
    <row r="409" spans="1:9">
      <c r="A409" t="s">
        <v>794</v>
      </c>
      <c r="B409" t="s">
        <v>264</v>
      </c>
      <c r="C409" t="s">
        <v>386</v>
      </c>
      <c r="D409" t="s">
        <v>30</v>
      </c>
      <c r="E409" t="s">
        <v>19</v>
      </c>
      <c r="F409">
        <v>4</v>
      </c>
      <c r="G409">
        <v>444.41</v>
      </c>
      <c r="H409">
        <v>1777.64</v>
      </c>
      <c r="I409" t="s">
        <v>31</v>
      </c>
    </row>
    <row r="410" spans="1:9">
      <c r="A410" t="s">
        <v>795</v>
      </c>
      <c r="B410" t="s">
        <v>86</v>
      </c>
      <c r="C410" t="s">
        <v>249</v>
      </c>
      <c r="D410" t="s">
        <v>12</v>
      </c>
      <c r="E410" t="s">
        <v>13</v>
      </c>
      <c r="F410">
        <v>1</v>
      </c>
      <c r="G410">
        <v>1314.29</v>
      </c>
      <c r="H410">
        <v>1314.29</v>
      </c>
      <c r="I410" t="s">
        <v>14</v>
      </c>
    </row>
    <row r="411" spans="1:9">
      <c r="A411" t="s">
        <v>796</v>
      </c>
      <c r="B411" t="s">
        <v>797</v>
      </c>
      <c r="C411" t="s">
        <v>159</v>
      </c>
      <c r="D411" t="s">
        <v>79</v>
      </c>
      <c r="E411" t="s">
        <v>52</v>
      </c>
      <c r="F411">
        <v>1</v>
      </c>
      <c r="G411">
        <v>374.91</v>
      </c>
      <c r="H411">
        <v>374.91</v>
      </c>
      <c r="I411" t="s">
        <v>47</v>
      </c>
    </row>
    <row r="412" spans="1:9">
      <c r="A412" t="s">
        <v>798</v>
      </c>
      <c r="B412" t="s">
        <v>799</v>
      </c>
      <c r="C412" t="s">
        <v>688</v>
      </c>
      <c r="D412" t="s">
        <v>30</v>
      </c>
      <c r="E412" t="s">
        <v>19</v>
      </c>
      <c r="F412">
        <v>3</v>
      </c>
      <c r="G412">
        <v>1053.68</v>
      </c>
      <c r="H412">
        <v>3161.04</v>
      </c>
      <c r="I412" t="s">
        <v>23</v>
      </c>
    </row>
    <row r="413" spans="1:9">
      <c r="A413" t="s">
        <v>800</v>
      </c>
      <c r="B413" t="s">
        <v>158</v>
      </c>
      <c r="C413" t="s">
        <v>73</v>
      </c>
      <c r="D413" t="s">
        <v>39</v>
      </c>
      <c r="E413" t="s">
        <v>40</v>
      </c>
      <c r="F413">
        <v>1</v>
      </c>
      <c r="G413">
        <v>83.2</v>
      </c>
      <c r="H413">
        <v>83.2</v>
      </c>
      <c r="I413" t="s">
        <v>23</v>
      </c>
    </row>
    <row r="414" spans="1:9">
      <c r="A414" t="s">
        <v>801</v>
      </c>
      <c r="B414" t="s">
        <v>161</v>
      </c>
      <c r="C414" t="s">
        <v>673</v>
      </c>
      <c r="D414" t="s">
        <v>30</v>
      </c>
      <c r="E414" t="s">
        <v>19</v>
      </c>
      <c r="F414">
        <v>3</v>
      </c>
      <c r="G414">
        <v>1551.22</v>
      </c>
      <c r="H414">
        <v>4653.66</v>
      </c>
      <c r="I414" t="s">
        <v>23</v>
      </c>
    </row>
    <row r="415" spans="1:9">
      <c r="A415" t="s">
        <v>802</v>
      </c>
      <c r="B415" t="s">
        <v>367</v>
      </c>
      <c r="C415" t="s">
        <v>313</v>
      </c>
      <c r="D415" t="s">
        <v>12</v>
      </c>
      <c r="E415" t="s">
        <v>13</v>
      </c>
      <c r="F415">
        <v>3</v>
      </c>
      <c r="G415">
        <v>1049.75</v>
      </c>
      <c r="H415">
        <v>3149.25</v>
      </c>
      <c r="I415" t="s">
        <v>47</v>
      </c>
    </row>
    <row r="416" spans="1:9">
      <c r="A416" t="s">
        <v>803</v>
      </c>
      <c r="B416" t="s">
        <v>81</v>
      </c>
      <c r="C416" t="s">
        <v>254</v>
      </c>
      <c r="D416" t="s">
        <v>18</v>
      </c>
      <c r="E416" t="s">
        <v>19</v>
      </c>
      <c r="F416">
        <v>4</v>
      </c>
      <c r="G416">
        <v>276.25</v>
      </c>
      <c r="H416">
        <v>1105</v>
      </c>
      <c r="I416" t="s">
        <v>47</v>
      </c>
    </row>
    <row r="417" spans="1:9">
      <c r="A417" t="s">
        <v>804</v>
      </c>
      <c r="B417" t="s">
        <v>805</v>
      </c>
      <c r="C417" t="s">
        <v>177</v>
      </c>
      <c r="D417" t="s">
        <v>30</v>
      </c>
      <c r="E417" t="s">
        <v>19</v>
      </c>
      <c r="F417">
        <v>5</v>
      </c>
      <c r="G417">
        <v>1809.83</v>
      </c>
      <c r="H417">
        <v>9049.15</v>
      </c>
      <c r="I417" t="s">
        <v>47</v>
      </c>
    </row>
    <row r="418" spans="1:9">
      <c r="A418" t="s">
        <v>806</v>
      </c>
      <c r="B418" t="s">
        <v>807</v>
      </c>
      <c r="C418" t="s">
        <v>246</v>
      </c>
      <c r="D418" t="s">
        <v>35</v>
      </c>
      <c r="E418" t="s">
        <v>13</v>
      </c>
      <c r="F418">
        <v>1</v>
      </c>
      <c r="G418">
        <v>181.35</v>
      </c>
      <c r="H418">
        <v>181.35</v>
      </c>
      <c r="I418" t="s">
        <v>47</v>
      </c>
    </row>
    <row r="419" spans="1:9">
      <c r="A419" t="s">
        <v>808</v>
      </c>
      <c r="B419" t="s">
        <v>670</v>
      </c>
      <c r="C419" t="s">
        <v>260</v>
      </c>
      <c r="D419" t="s">
        <v>51</v>
      </c>
      <c r="E419" t="s">
        <v>52</v>
      </c>
      <c r="F419">
        <v>5</v>
      </c>
      <c r="G419">
        <v>380.88</v>
      </c>
      <c r="H419">
        <v>1904.4</v>
      </c>
      <c r="I419" t="s">
        <v>23</v>
      </c>
    </row>
    <row r="420" spans="1:9">
      <c r="A420" t="s">
        <v>809</v>
      </c>
      <c r="B420" t="s">
        <v>300</v>
      </c>
      <c r="C420" t="s">
        <v>810</v>
      </c>
      <c r="D420" t="s">
        <v>79</v>
      </c>
      <c r="E420" t="s">
        <v>52</v>
      </c>
      <c r="F420">
        <v>2</v>
      </c>
      <c r="G420">
        <v>1259.71</v>
      </c>
      <c r="H420">
        <v>2519.42</v>
      </c>
      <c r="I420" t="s">
        <v>23</v>
      </c>
    </row>
    <row r="421" spans="1:9">
      <c r="A421" t="s">
        <v>811</v>
      </c>
      <c r="B421" t="s">
        <v>360</v>
      </c>
      <c r="C421" t="s">
        <v>313</v>
      </c>
      <c r="D421" t="s">
        <v>35</v>
      </c>
      <c r="E421" t="s">
        <v>13</v>
      </c>
      <c r="F421">
        <v>3</v>
      </c>
      <c r="G421">
        <v>564.95000000000005</v>
      </c>
      <c r="H421">
        <v>1694.85</v>
      </c>
      <c r="I421" t="s">
        <v>47</v>
      </c>
    </row>
    <row r="422" spans="1:9">
      <c r="A422" t="s">
        <v>812</v>
      </c>
      <c r="B422" t="s">
        <v>259</v>
      </c>
      <c r="C422" t="s">
        <v>394</v>
      </c>
      <c r="D422" t="s">
        <v>18</v>
      </c>
      <c r="E422" t="s">
        <v>19</v>
      </c>
      <c r="F422">
        <v>1</v>
      </c>
      <c r="G422">
        <v>318.38</v>
      </c>
      <c r="H422">
        <v>318.38</v>
      </c>
      <c r="I422" t="s">
        <v>31</v>
      </c>
    </row>
    <row r="423" spans="1:9">
      <c r="A423" t="s">
        <v>813</v>
      </c>
      <c r="B423" t="s">
        <v>814</v>
      </c>
      <c r="C423" t="s">
        <v>43</v>
      </c>
      <c r="D423" t="s">
        <v>51</v>
      </c>
      <c r="E423" t="s">
        <v>52</v>
      </c>
      <c r="F423">
        <v>1</v>
      </c>
      <c r="G423">
        <v>225.3</v>
      </c>
      <c r="H423">
        <v>225.3</v>
      </c>
      <c r="I423" t="s">
        <v>47</v>
      </c>
    </row>
    <row r="424" spans="1:9">
      <c r="A424" t="s">
        <v>815</v>
      </c>
      <c r="B424" t="s">
        <v>150</v>
      </c>
      <c r="C424" t="s">
        <v>278</v>
      </c>
      <c r="D424" t="s">
        <v>12</v>
      </c>
      <c r="E424" t="s">
        <v>13</v>
      </c>
      <c r="F424">
        <v>2</v>
      </c>
      <c r="G424">
        <v>1974.33</v>
      </c>
      <c r="H424">
        <v>3948.66</v>
      </c>
      <c r="I424" t="s">
        <v>31</v>
      </c>
    </row>
    <row r="425" spans="1:9">
      <c r="A425" t="s">
        <v>816</v>
      </c>
      <c r="B425" t="s">
        <v>817</v>
      </c>
      <c r="C425" t="s">
        <v>172</v>
      </c>
      <c r="D425" t="s">
        <v>18</v>
      </c>
      <c r="E425" t="s">
        <v>19</v>
      </c>
      <c r="F425">
        <v>2</v>
      </c>
      <c r="G425">
        <v>941.79</v>
      </c>
      <c r="H425">
        <v>1883.58</v>
      </c>
      <c r="I425" t="s">
        <v>23</v>
      </c>
    </row>
    <row r="426" spans="1:9">
      <c r="A426" t="s">
        <v>818</v>
      </c>
      <c r="B426" t="s">
        <v>84</v>
      </c>
      <c r="C426" t="s">
        <v>429</v>
      </c>
      <c r="D426" t="s">
        <v>30</v>
      </c>
      <c r="E426" t="s">
        <v>19</v>
      </c>
      <c r="F426">
        <v>2</v>
      </c>
      <c r="G426">
        <v>1862.88</v>
      </c>
      <c r="H426">
        <v>3725.76</v>
      </c>
      <c r="I426" t="s">
        <v>47</v>
      </c>
    </row>
    <row r="427" spans="1:9">
      <c r="A427" t="s">
        <v>819</v>
      </c>
      <c r="B427" t="s">
        <v>682</v>
      </c>
      <c r="C427" t="s">
        <v>394</v>
      </c>
      <c r="D427" t="s">
        <v>51</v>
      </c>
      <c r="E427" t="s">
        <v>52</v>
      </c>
      <c r="F427">
        <v>4</v>
      </c>
      <c r="G427">
        <v>1260.8699999999999</v>
      </c>
      <c r="H427">
        <v>5043.4799999999996</v>
      </c>
      <c r="I427" t="s">
        <v>23</v>
      </c>
    </row>
    <row r="428" spans="1:9">
      <c r="A428" t="s">
        <v>820</v>
      </c>
      <c r="B428" t="s">
        <v>821</v>
      </c>
      <c r="C428" t="s">
        <v>102</v>
      </c>
      <c r="D428" t="s">
        <v>35</v>
      </c>
      <c r="E428" t="s">
        <v>13</v>
      </c>
      <c r="F428">
        <v>2</v>
      </c>
      <c r="G428">
        <v>1101.8499999999999</v>
      </c>
      <c r="H428">
        <v>2203.6999999999998</v>
      </c>
      <c r="I428" t="s">
        <v>31</v>
      </c>
    </row>
    <row r="429" spans="1:9">
      <c r="A429" t="s">
        <v>822</v>
      </c>
      <c r="B429" t="s">
        <v>460</v>
      </c>
      <c r="C429" t="s">
        <v>183</v>
      </c>
      <c r="D429" t="s">
        <v>59</v>
      </c>
      <c r="E429" t="s">
        <v>40</v>
      </c>
      <c r="F429">
        <v>5</v>
      </c>
      <c r="G429">
        <v>1037.79</v>
      </c>
      <c r="H429">
        <v>5188.95</v>
      </c>
      <c r="I429" t="s">
        <v>47</v>
      </c>
    </row>
    <row r="430" spans="1:9">
      <c r="A430" t="s">
        <v>823</v>
      </c>
      <c r="B430" t="s">
        <v>150</v>
      </c>
      <c r="C430" t="s">
        <v>68</v>
      </c>
      <c r="D430" t="s">
        <v>35</v>
      </c>
      <c r="E430" t="s">
        <v>13</v>
      </c>
      <c r="F430">
        <v>2</v>
      </c>
      <c r="G430">
        <v>1938.15</v>
      </c>
      <c r="H430">
        <v>3876.3</v>
      </c>
      <c r="I430" t="s">
        <v>31</v>
      </c>
    </row>
    <row r="431" spans="1:9">
      <c r="A431" t="s">
        <v>824</v>
      </c>
      <c r="B431" t="s">
        <v>191</v>
      </c>
      <c r="C431" t="s">
        <v>555</v>
      </c>
      <c r="D431" t="s">
        <v>79</v>
      </c>
      <c r="E431" t="s">
        <v>52</v>
      </c>
      <c r="F431">
        <v>3</v>
      </c>
      <c r="G431">
        <v>977.55</v>
      </c>
      <c r="H431">
        <v>2932.65</v>
      </c>
      <c r="I431" t="s">
        <v>47</v>
      </c>
    </row>
    <row r="432" spans="1:9">
      <c r="A432" t="s">
        <v>825</v>
      </c>
      <c r="B432" t="s">
        <v>826</v>
      </c>
      <c r="C432" t="s">
        <v>90</v>
      </c>
      <c r="D432" t="s">
        <v>12</v>
      </c>
      <c r="E432" t="s">
        <v>13</v>
      </c>
      <c r="F432">
        <v>4</v>
      </c>
      <c r="G432">
        <v>1049.04</v>
      </c>
      <c r="H432">
        <v>4196.16</v>
      </c>
      <c r="I432" t="s">
        <v>47</v>
      </c>
    </row>
    <row r="433" spans="1:9">
      <c r="A433" t="s">
        <v>827</v>
      </c>
      <c r="B433" t="s">
        <v>828</v>
      </c>
      <c r="C433" t="s">
        <v>26</v>
      </c>
      <c r="D433" t="s">
        <v>30</v>
      </c>
      <c r="E433" t="s">
        <v>19</v>
      </c>
      <c r="F433">
        <v>2</v>
      </c>
      <c r="G433">
        <v>674.44</v>
      </c>
      <c r="H433">
        <v>1348.88</v>
      </c>
      <c r="I433" t="s">
        <v>23</v>
      </c>
    </row>
    <row r="434" spans="1:9">
      <c r="A434" t="s">
        <v>829</v>
      </c>
      <c r="B434" t="s">
        <v>830</v>
      </c>
      <c r="C434" t="s">
        <v>308</v>
      </c>
      <c r="D434" t="s">
        <v>51</v>
      </c>
      <c r="E434" t="s">
        <v>52</v>
      </c>
      <c r="F434">
        <v>1</v>
      </c>
      <c r="G434">
        <v>767.21</v>
      </c>
      <c r="H434">
        <v>767.21</v>
      </c>
      <c r="I434" t="s">
        <v>23</v>
      </c>
    </row>
    <row r="435" spans="1:9">
      <c r="A435" t="s">
        <v>831</v>
      </c>
      <c r="B435" t="s">
        <v>832</v>
      </c>
      <c r="C435" t="s">
        <v>467</v>
      </c>
      <c r="D435" t="s">
        <v>39</v>
      </c>
      <c r="E435" t="s">
        <v>40</v>
      </c>
      <c r="F435">
        <v>4</v>
      </c>
      <c r="G435">
        <v>590</v>
      </c>
      <c r="H435">
        <v>2360</v>
      </c>
      <c r="I435" t="s">
        <v>47</v>
      </c>
    </row>
    <row r="436" spans="1:9">
      <c r="A436" t="s">
        <v>833</v>
      </c>
      <c r="B436" t="s">
        <v>821</v>
      </c>
      <c r="C436" t="s">
        <v>177</v>
      </c>
      <c r="D436" t="s">
        <v>79</v>
      </c>
      <c r="E436" t="s">
        <v>52</v>
      </c>
      <c r="F436">
        <v>3</v>
      </c>
      <c r="G436">
        <v>1796.7</v>
      </c>
      <c r="H436">
        <v>5390.1</v>
      </c>
      <c r="I436" t="s">
        <v>23</v>
      </c>
    </row>
    <row r="437" spans="1:9">
      <c r="A437" t="s">
        <v>834</v>
      </c>
      <c r="B437" t="s">
        <v>835</v>
      </c>
      <c r="C437" t="s">
        <v>548</v>
      </c>
      <c r="D437" t="s">
        <v>30</v>
      </c>
      <c r="E437" t="s">
        <v>19</v>
      </c>
      <c r="F437">
        <v>5</v>
      </c>
      <c r="G437">
        <v>960.12</v>
      </c>
      <c r="H437">
        <v>4800.6000000000004</v>
      </c>
      <c r="I437" t="s">
        <v>14</v>
      </c>
    </row>
    <row r="438" spans="1:9">
      <c r="A438" t="s">
        <v>836</v>
      </c>
      <c r="B438" t="s">
        <v>837</v>
      </c>
      <c r="C438" t="s">
        <v>353</v>
      </c>
      <c r="D438" t="s">
        <v>110</v>
      </c>
      <c r="E438" t="s">
        <v>52</v>
      </c>
      <c r="F438">
        <v>2</v>
      </c>
      <c r="G438">
        <v>655.41</v>
      </c>
      <c r="H438">
        <v>1310.82</v>
      </c>
      <c r="I438" t="s">
        <v>31</v>
      </c>
    </row>
    <row r="439" spans="1:9">
      <c r="A439" t="s">
        <v>838</v>
      </c>
      <c r="B439" t="s">
        <v>95</v>
      </c>
      <c r="C439" t="s">
        <v>752</v>
      </c>
      <c r="D439" t="s">
        <v>110</v>
      </c>
      <c r="E439" t="s">
        <v>52</v>
      </c>
      <c r="F439">
        <v>2</v>
      </c>
      <c r="G439">
        <v>952.58</v>
      </c>
      <c r="H439">
        <v>1905.16</v>
      </c>
      <c r="I439" t="s">
        <v>31</v>
      </c>
    </row>
    <row r="440" spans="1:9">
      <c r="A440" t="s">
        <v>839</v>
      </c>
      <c r="B440" t="s">
        <v>132</v>
      </c>
      <c r="C440" t="s">
        <v>113</v>
      </c>
      <c r="D440" t="s">
        <v>51</v>
      </c>
      <c r="E440" t="s">
        <v>52</v>
      </c>
      <c r="F440">
        <v>2</v>
      </c>
      <c r="G440">
        <v>1136.56</v>
      </c>
      <c r="H440">
        <v>2273.12</v>
      </c>
      <c r="I440" t="s">
        <v>14</v>
      </c>
    </row>
    <row r="441" spans="1:9">
      <c r="A441" t="s">
        <v>840</v>
      </c>
      <c r="B441" t="s">
        <v>191</v>
      </c>
      <c r="C441" t="s">
        <v>688</v>
      </c>
      <c r="D441" t="s">
        <v>79</v>
      </c>
      <c r="E441" t="s">
        <v>52</v>
      </c>
      <c r="F441">
        <v>3</v>
      </c>
      <c r="G441">
        <v>1454.53</v>
      </c>
      <c r="H441">
        <v>4363.59</v>
      </c>
      <c r="I441" t="s">
        <v>31</v>
      </c>
    </row>
    <row r="442" spans="1:9">
      <c r="A442" t="s">
        <v>841</v>
      </c>
      <c r="B442" t="s">
        <v>98</v>
      </c>
      <c r="C442" t="s">
        <v>411</v>
      </c>
      <c r="D442" t="s">
        <v>79</v>
      </c>
      <c r="E442" t="s">
        <v>52</v>
      </c>
      <c r="F442">
        <v>3</v>
      </c>
      <c r="G442">
        <v>1620.62</v>
      </c>
      <c r="H442">
        <v>4861.8599999999997</v>
      </c>
      <c r="I442" t="s">
        <v>14</v>
      </c>
    </row>
    <row r="443" spans="1:9">
      <c r="A443" t="s">
        <v>842</v>
      </c>
      <c r="B443" t="s">
        <v>553</v>
      </c>
      <c r="C443" t="s">
        <v>135</v>
      </c>
      <c r="D443" t="s">
        <v>79</v>
      </c>
      <c r="E443" t="s">
        <v>52</v>
      </c>
      <c r="F443">
        <v>1</v>
      </c>
      <c r="G443">
        <v>1681.51</v>
      </c>
      <c r="H443">
        <v>1681.51</v>
      </c>
      <c r="I443" t="s">
        <v>47</v>
      </c>
    </row>
    <row r="444" spans="1:9">
      <c r="A444" t="s">
        <v>843</v>
      </c>
      <c r="B444" t="s">
        <v>597</v>
      </c>
      <c r="C444" t="s">
        <v>371</v>
      </c>
      <c r="D444" t="s">
        <v>79</v>
      </c>
      <c r="E444" t="s">
        <v>52</v>
      </c>
      <c r="F444">
        <v>4</v>
      </c>
      <c r="G444">
        <v>781.88</v>
      </c>
      <c r="H444">
        <v>3127.52</v>
      </c>
      <c r="I444" t="s">
        <v>47</v>
      </c>
    </row>
    <row r="445" spans="1:9">
      <c r="A445" t="s">
        <v>844</v>
      </c>
      <c r="B445" t="s">
        <v>95</v>
      </c>
      <c r="C445" t="s">
        <v>529</v>
      </c>
      <c r="D445" t="s">
        <v>18</v>
      </c>
      <c r="E445" t="s">
        <v>19</v>
      </c>
      <c r="F445">
        <v>4</v>
      </c>
      <c r="G445">
        <v>745.27</v>
      </c>
      <c r="H445">
        <v>2981.08</v>
      </c>
      <c r="I445" t="s">
        <v>31</v>
      </c>
    </row>
    <row r="446" spans="1:9">
      <c r="A446" t="s">
        <v>845</v>
      </c>
      <c r="B446" t="s">
        <v>846</v>
      </c>
      <c r="C446" t="s">
        <v>102</v>
      </c>
      <c r="D446" t="s">
        <v>110</v>
      </c>
      <c r="E446" t="s">
        <v>52</v>
      </c>
      <c r="F446">
        <v>1</v>
      </c>
      <c r="G446">
        <v>1086.3</v>
      </c>
      <c r="H446">
        <v>1086.3</v>
      </c>
      <c r="I446" t="s">
        <v>31</v>
      </c>
    </row>
    <row r="447" spans="1:9">
      <c r="A447" t="s">
        <v>847</v>
      </c>
      <c r="B447" t="s">
        <v>848</v>
      </c>
      <c r="C447" t="s">
        <v>265</v>
      </c>
      <c r="D447" t="s">
        <v>30</v>
      </c>
      <c r="E447" t="s">
        <v>19</v>
      </c>
      <c r="F447">
        <v>4</v>
      </c>
      <c r="G447">
        <v>1138.3900000000001</v>
      </c>
      <c r="H447">
        <v>4553.5600000000004</v>
      </c>
      <c r="I447" t="s">
        <v>14</v>
      </c>
    </row>
    <row r="448" spans="1:9">
      <c r="A448" t="s">
        <v>849</v>
      </c>
      <c r="B448" t="s">
        <v>310</v>
      </c>
      <c r="C448" t="s">
        <v>124</v>
      </c>
      <c r="D448" t="s">
        <v>35</v>
      </c>
      <c r="E448" t="s">
        <v>13</v>
      </c>
      <c r="F448">
        <v>5</v>
      </c>
      <c r="G448">
        <v>69.67</v>
      </c>
      <c r="H448">
        <v>348.35</v>
      </c>
      <c r="I448" t="s">
        <v>31</v>
      </c>
    </row>
    <row r="449" spans="1:9">
      <c r="A449" t="s">
        <v>850</v>
      </c>
      <c r="B449" t="s">
        <v>851</v>
      </c>
      <c r="C449" t="s">
        <v>353</v>
      </c>
      <c r="D449" t="s">
        <v>59</v>
      </c>
      <c r="E449" t="s">
        <v>40</v>
      </c>
      <c r="F449">
        <v>4</v>
      </c>
      <c r="G449">
        <v>852.94</v>
      </c>
      <c r="H449">
        <v>3411.76</v>
      </c>
      <c r="I449" t="s">
        <v>31</v>
      </c>
    </row>
    <row r="450" spans="1:9">
      <c r="A450" t="s">
        <v>852</v>
      </c>
      <c r="B450" t="s">
        <v>624</v>
      </c>
      <c r="C450" t="s">
        <v>371</v>
      </c>
      <c r="D450" t="s">
        <v>39</v>
      </c>
      <c r="E450" t="s">
        <v>40</v>
      </c>
      <c r="F450">
        <v>3</v>
      </c>
      <c r="G450">
        <v>1112.53</v>
      </c>
      <c r="H450">
        <v>3337.59</v>
      </c>
      <c r="I450" t="s">
        <v>23</v>
      </c>
    </row>
    <row r="451" spans="1:9">
      <c r="A451" t="s">
        <v>853</v>
      </c>
      <c r="B451" t="s">
        <v>854</v>
      </c>
      <c r="C451" t="s">
        <v>22</v>
      </c>
      <c r="D451" t="s">
        <v>18</v>
      </c>
      <c r="E451" t="s">
        <v>19</v>
      </c>
      <c r="F451">
        <v>3</v>
      </c>
      <c r="G451">
        <v>1355.2</v>
      </c>
      <c r="H451">
        <v>4065.6</v>
      </c>
      <c r="I451" t="s">
        <v>47</v>
      </c>
    </row>
    <row r="452" spans="1:9">
      <c r="A452" t="s">
        <v>855</v>
      </c>
      <c r="B452" t="s">
        <v>286</v>
      </c>
      <c r="C452" t="s">
        <v>177</v>
      </c>
      <c r="D452" t="s">
        <v>39</v>
      </c>
      <c r="E452" t="s">
        <v>40</v>
      </c>
      <c r="F452">
        <v>4</v>
      </c>
      <c r="G452">
        <v>1687.49</v>
      </c>
      <c r="H452">
        <v>6749.96</v>
      </c>
      <c r="I452" t="s">
        <v>23</v>
      </c>
    </row>
    <row r="453" spans="1:9">
      <c r="A453" t="s">
        <v>856</v>
      </c>
      <c r="B453" t="s">
        <v>857</v>
      </c>
      <c r="C453" t="s">
        <v>368</v>
      </c>
      <c r="D453" t="s">
        <v>39</v>
      </c>
      <c r="E453" t="s">
        <v>40</v>
      </c>
      <c r="F453">
        <v>5</v>
      </c>
      <c r="G453">
        <v>1150.75</v>
      </c>
      <c r="H453">
        <v>5753.75</v>
      </c>
      <c r="I453" t="s">
        <v>14</v>
      </c>
    </row>
    <row r="454" spans="1:9">
      <c r="A454" t="s">
        <v>858</v>
      </c>
      <c r="B454" t="s">
        <v>859</v>
      </c>
      <c r="C454" t="s">
        <v>249</v>
      </c>
      <c r="D454" t="s">
        <v>79</v>
      </c>
      <c r="E454" t="s">
        <v>52</v>
      </c>
      <c r="F454">
        <v>2</v>
      </c>
      <c r="G454">
        <v>757.89</v>
      </c>
      <c r="H454">
        <v>1515.78</v>
      </c>
      <c r="I454" t="s">
        <v>14</v>
      </c>
    </row>
    <row r="455" spans="1:9">
      <c r="A455" t="s">
        <v>860</v>
      </c>
      <c r="B455" t="s">
        <v>115</v>
      </c>
      <c r="C455" t="s">
        <v>679</v>
      </c>
      <c r="D455" t="s">
        <v>30</v>
      </c>
      <c r="E455" t="s">
        <v>19</v>
      </c>
      <c r="F455">
        <v>4</v>
      </c>
      <c r="G455">
        <v>1777.47</v>
      </c>
      <c r="H455">
        <v>7109.88</v>
      </c>
      <c r="I455" t="s">
        <v>31</v>
      </c>
    </row>
    <row r="456" spans="1:9">
      <c r="A456" t="s">
        <v>861</v>
      </c>
      <c r="B456" t="s">
        <v>259</v>
      </c>
      <c r="C456" t="s">
        <v>22</v>
      </c>
      <c r="D456" t="s">
        <v>30</v>
      </c>
      <c r="E456" t="s">
        <v>19</v>
      </c>
      <c r="F456">
        <v>2</v>
      </c>
      <c r="G456">
        <v>1880.71</v>
      </c>
      <c r="H456">
        <v>3761.42</v>
      </c>
      <c r="I456" t="s">
        <v>31</v>
      </c>
    </row>
    <row r="457" spans="1:9">
      <c r="A457" t="s">
        <v>862</v>
      </c>
      <c r="B457" t="s">
        <v>622</v>
      </c>
      <c r="C457" t="s">
        <v>411</v>
      </c>
      <c r="D457" t="s">
        <v>79</v>
      </c>
      <c r="E457" t="s">
        <v>52</v>
      </c>
      <c r="F457">
        <v>5</v>
      </c>
      <c r="G457">
        <v>1178.8499999999999</v>
      </c>
      <c r="H457">
        <v>5894.25</v>
      </c>
      <c r="I457" t="s">
        <v>31</v>
      </c>
    </row>
    <row r="458" spans="1:9">
      <c r="A458" t="s">
        <v>863</v>
      </c>
      <c r="B458" t="s">
        <v>377</v>
      </c>
      <c r="C458" t="s">
        <v>17</v>
      </c>
      <c r="D458" t="s">
        <v>39</v>
      </c>
      <c r="E458" t="s">
        <v>40</v>
      </c>
      <c r="F458">
        <v>5</v>
      </c>
      <c r="G458">
        <v>556.46</v>
      </c>
      <c r="H458">
        <v>2782.3</v>
      </c>
      <c r="I458" t="s">
        <v>47</v>
      </c>
    </row>
    <row r="459" spans="1:9">
      <c r="A459" t="s">
        <v>864</v>
      </c>
      <c r="B459" t="s">
        <v>235</v>
      </c>
      <c r="C459" t="s">
        <v>186</v>
      </c>
      <c r="D459" t="s">
        <v>18</v>
      </c>
      <c r="E459" t="s">
        <v>19</v>
      </c>
      <c r="F459">
        <v>3</v>
      </c>
      <c r="G459">
        <v>349.42</v>
      </c>
      <c r="H459">
        <v>1048.26</v>
      </c>
      <c r="I459" t="s">
        <v>14</v>
      </c>
    </row>
    <row r="460" spans="1:9">
      <c r="A460" t="s">
        <v>865</v>
      </c>
      <c r="B460" t="s">
        <v>77</v>
      </c>
      <c r="C460" t="s">
        <v>93</v>
      </c>
      <c r="D460" t="s">
        <v>110</v>
      </c>
      <c r="E460" t="s">
        <v>52</v>
      </c>
      <c r="F460">
        <v>3</v>
      </c>
      <c r="G460">
        <v>1345.82</v>
      </c>
      <c r="H460">
        <v>4037.46</v>
      </c>
      <c r="I460" t="s">
        <v>23</v>
      </c>
    </row>
    <row r="461" spans="1:9">
      <c r="A461" t="s">
        <v>866</v>
      </c>
      <c r="B461" t="s">
        <v>433</v>
      </c>
      <c r="C461" t="s">
        <v>11</v>
      </c>
      <c r="D461" t="s">
        <v>51</v>
      </c>
      <c r="E461" t="s">
        <v>52</v>
      </c>
      <c r="F461">
        <v>3</v>
      </c>
      <c r="G461">
        <v>1528.1</v>
      </c>
      <c r="H461">
        <v>4584.3</v>
      </c>
      <c r="I461" t="s">
        <v>31</v>
      </c>
    </row>
    <row r="462" spans="1:9">
      <c r="A462" t="s">
        <v>867</v>
      </c>
      <c r="B462" t="s">
        <v>312</v>
      </c>
      <c r="C462" t="s">
        <v>868</v>
      </c>
      <c r="D462" t="s">
        <v>79</v>
      </c>
      <c r="E462" t="s">
        <v>52</v>
      </c>
      <c r="F462">
        <v>2</v>
      </c>
      <c r="G462">
        <v>910.99</v>
      </c>
      <c r="H462">
        <v>1821.98</v>
      </c>
      <c r="I462" t="s">
        <v>31</v>
      </c>
    </row>
    <row r="463" spans="1:9">
      <c r="A463" t="s">
        <v>869</v>
      </c>
      <c r="B463" t="s">
        <v>295</v>
      </c>
      <c r="C463" t="s">
        <v>65</v>
      </c>
      <c r="D463" t="s">
        <v>59</v>
      </c>
      <c r="E463" t="s">
        <v>40</v>
      </c>
      <c r="F463">
        <v>1</v>
      </c>
      <c r="G463">
        <v>1259.56</v>
      </c>
      <c r="H463">
        <v>1259.56</v>
      </c>
      <c r="I463" t="s">
        <v>47</v>
      </c>
    </row>
    <row r="464" spans="1:9">
      <c r="A464" t="s">
        <v>870</v>
      </c>
      <c r="B464" t="s">
        <v>424</v>
      </c>
      <c r="C464" t="s">
        <v>340</v>
      </c>
      <c r="D464" t="s">
        <v>18</v>
      </c>
      <c r="E464" t="s">
        <v>19</v>
      </c>
      <c r="F464">
        <v>5</v>
      </c>
      <c r="G464">
        <v>425.53</v>
      </c>
      <c r="H464">
        <v>2127.65</v>
      </c>
      <c r="I464" t="s">
        <v>23</v>
      </c>
    </row>
    <row r="465" spans="1:9">
      <c r="A465" t="s">
        <v>871</v>
      </c>
      <c r="B465" t="s">
        <v>828</v>
      </c>
      <c r="C465" t="s">
        <v>140</v>
      </c>
      <c r="D465" t="s">
        <v>30</v>
      </c>
      <c r="E465" t="s">
        <v>19</v>
      </c>
      <c r="F465">
        <v>2</v>
      </c>
      <c r="G465">
        <v>998.34</v>
      </c>
      <c r="H465">
        <v>1996.68</v>
      </c>
      <c r="I465" t="s">
        <v>31</v>
      </c>
    </row>
    <row r="466" spans="1:9">
      <c r="A466" t="s">
        <v>872</v>
      </c>
      <c r="B466" t="s">
        <v>814</v>
      </c>
      <c r="C466" t="s">
        <v>721</v>
      </c>
      <c r="D466" t="s">
        <v>39</v>
      </c>
      <c r="E466" t="s">
        <v>40</v>
      </c>
      <c r="F466">
        <v>5</v>
      </c>
      <c r="G466">
        <v>1859.94</v>
      </c>
      <c r="H466">
        <v>9299.7000000000007</v>
      </c>
      <c r="I466" t="s">
        <v>23</v>
      </c>
    </row>
    <row r="467" spans="1:9">
      <c r="A467" t="s">
        <v>873</v>
      </c>
      <c r="B467" t="s">
        <v>194</v>
      </c>
      <c r="C467" t="s">
        <v>65</v>
      </c>
      <c r="D467" t="s">
        <v>39</v>
      </c>
      <c r="E467" t="s">
        <v>40</v>
      </c>
      <c r="F467">
        <v>5</v>
      </c>
      <c r="G467">
        <v>1499.76</v>
      </c>
      <c r="H467">
        <v>7498.8</v>
      </c>
      <c r="I467" t="s">
        <v>47</v>
      </c>
    </row>
    <row r="468" spans="1:9">
      <c r="A468" t="s">
        <v>874</v>
      </c>
      <c r="B468" t="s">
        <v>198</v>
      </c>
      <c r="C468" t="s">
        <v>73</v>
      </c>
      <c r="D468" t="s">
        <v>39</v>
      </c>
      <c r="E468" t="s">
        <v>40</v>
      </c>
      <c r="F468">
        <v>1</v>
      </c>
      <c r="G468">
        <v>621.74</v>
      </c>
      <c r="H468">
        <v>621.74</v>
      </c>
      <c r="I468" t="s">
        <v>14</v>
      </c>
    </row>
    <row r="469" spans="1:9">
      <c r="A469" t="s">
        <v>875</v>
      </c>
      <c r="B469" t="s">
        <v>620</v>
      </c>
      <c r="C469" t="s">
        <v>529</v>
      </c>
      <c r="D469" t="s">
        <v>18</v>
      </c>
      <c r="E469" t="s">
        <v>19</v>
      </c>
      <c r="F469">
        <v>5</v>
      </c>
      <c r="G469">
        <v>1701.2</v>
      </c>
      <c r="H469">
        <v>8506</v>
      </c>
      <c r="I469" t="s">
        <v>14</v>
      </c>
    </row>
    <row r="470" spans="1:9">
      <c r="A470" t="s">
        <v>876</v>
      </c>
      <c r="B470" t="s">
        <v>747</v>
      </c>
      <c r="C470" t="s">
        <v>90</v>
      </c>
      <c r="D470" t="s">
        <v>12</v>
      </c>
      <c r="E470" t="s">
        <v>13</v>
      </c>
      <c r="F470">
        <v>5</v>
      </c>
      <c r="G470">
        <v>1014.68</v>
      </c>
      <c r="H470">
        <v>5073.3999999999996</v>
      </c>
      <c r="I470" t="s">
        <v>14</v>
      </c>
    </row>
    <row r="471" spans="1:9">
      <c r="A471" t="s">
        <v>877</v>
      </c>
      <c r="B471" t="s">
        <v>624</v>
      </c>
      <c r="C471" t="s">
        <v>538</v>
      </c>
      <c r="D471" t="s">
        <v>59</v>
      </c>
      <c r="E471" t="s">
        <v>40</v>
      </c>
      <c r="F471">
        <v>4</v>
      </c>
      <c r="G471">
        <v>1784.33</v>
      </c>
      <c r="H471">
        <v>7137.32</v>
      </c>
      <c r="I471" t="s">
        <v>23</v>
      </c>
    </row>
    <row r="472" spans="1:9">
      <c r="A472" t="s">
        <v>878</v>
      </c>
      <c r="B472" t="s">
        <v>305</v>
      </c>
      <c r="C472" t="s">
        <v>276</v>
      </c>
      <c r="D472" t="s">
        <v>35</v>
      </c>
      <c r="E472" t="s">
        <v>13</v>
      </c>
      <c r="F472">
        <v>4</v>
      </c>
      <c r="G472">
        <v>1553.59</v>
      </c>
      <c r="H472">
        <v>6214.36</v>
      </c>
      <c r="I472" t="s">
        <v>31</v>
      </c>
    </row>
    <row r="473" spans="1:9">
      <c r="A473" t="s">
        <v>879</v>
      </c>
      <c r="B473" t="s">
        <v>590</v>
      </c>
      <c r="C473" t="s">
        <v>290</v>
      </c>
      <c r="D473" t="s">
        <v>35</v>
      </c>
      <c r="E473" t="s">
        <v>13</v>
      </c>
      <c r="F473">
        <v>2</v>
      </c>
      <c r="G473">
        <v>835.42</v>
      </c>
      <c r="H473">
        <v>1670.84</v>
      </c>
      <c r="I473" t="s">
        <v>14</v>
      </c>
    </row>
    <row r="474" spans="1:9">
      <c r="A474" t="s">
        <v>880</v>
      </c>
      <c r="B474" t="s">
        <v>123</v>
      </c>
      <c r="C474" t="s">
        <v>394</v>
      </c>
      <c r="D474" t="s">
        <v>39</v>
      </c>
      <c r="E474" t="s">
        <v>40</v>
      </c>
      <c r="F474">
        <v>4</v>
      </c>
      <c r="G474">
        <v>381.63</v>
      </c>
      <c r="H474">
        <v>1526.52</v>
      </c>
      <c r="I474" t="s">
        <v>31</v>
      </c>
    </row>
    <row r="475" spans="1:9">
      <c r="A475" t="s">
        <v>881</v>
      </c>
      <c r="B475" t="s">
        <v>493</v>
      </c>
      <c r="C475" t="s">
        <v>78</v>
      </c>
      <c r="D475" t="s">
        <v>39</v>
      </c>
      <c r="E475" t="s">
        <v>40</v>
      </c>
      <c r="F475">
        <v>4</v>
      </c>
      <c r="G475">
        <v>408.45</v>
      </c>
      <c r="H475">
        <v>1633.8</v>
      </c>
      <c r="I475" t="s">
        <v>31</v>
      </c>
    </row>
    <row r="476" spans="1:9">
      <c r="A476" t="s">
        <v>882</v>
      </c>
      <c r="B476" t="s">
        <v>883</v>
      </c>
      <c r="C476" t="s">
        <v>429</v>
      </c>
      <c r="D476" t="s">
        <v>12</v>
      </c>
      <c r="E476" t="s">
        <v>13</v>
      </c>
      <c r="F476">
        <v>1</v>
      </c>
      <c r="G476">
        <v>1201.99</v>
      </c>
      <c r="H476">
        <v>1201.99</v>
      </c>
      <c r="I476" t="s">
        <v>23</v>
      </c>
    </row>
    <row r="477" spans="1:9">
      <c r="A477" t="s">
        <v>884</v>
      </c>
      <c r="B477" t="s">
        <v>787</v>
      </c>
      <c r="C477" t="s">
        <v>70</v>
      </c>
      <c r="D477" t="s">
        <v>79</v>
      </c>
      <c r="E477" t="s">
        <v>52</v>
      </c>
      <c r="F477">
        <v>1</v>
      </c>
      <c r="G477">
        <v>1214.1400000000001</v>
      </c>
      <c r="H477">
        <v>1214.1400000000001</v>
      </c>
      <c r="I477" t="s">
        <v>14</v>
      </c>
    </row>
    <row r="478" spans="1:9">
      <c r="A478" t="s">
        <v>885</v>
      </c>
      <c r="B478" t="s">
        <v>129</v>
      </c>
      <c r="C478" t="s">
        <v>113</v>
      </c>
      <c r="D478" t="s">
        <v>30</v>
      </c>
      <c r="E478" t="s">
        <v>19</v>
      </c>
      <c r="F478">
        <v>2</v>
      </c>
      <c r="G478">
        <v>791.51</v>
      </c>
      <c r="H478">
        <v>1583.02</v>
      </c>
      <c r="I478" t="s">
        <v>14</v>
      </c>
    </row>
    <row r="479" spans="1:9">
      <c r="A479" t="s">
        <v>886</v>
      </c>
      <c r="B479" t="s">
        <v>654</v>
      </c>
      <c r="C479" t="s">
        <v>90</v>
      </c>
      <c r="D479" t="s">
        <v>18</v>
      </c>
      <c r="E479" t="s">
        <v>19</v>
      </c>
      <c r="F479">
        <v>1</v>
      </c>
      <c r="G479">
        <v>1610.41</v>
      </c>
      <c r="H479">
        <v>1610.41</v>
      </c>
      <c r="I479" t="s">
        <v>47</v>
      </c>
    </row>
    <row r="480" spans="1:9">
      <c r="A480" t="s">
        <v>887</v>
      </c>
      <c r="B480" t="s">
        <v>635</v>
      </c>
      <c r="C480" t="s">
        <v>353</v>
      </c>
      <c r="D480" t="s">
        <v>79</v>
      </c>
      <c r="E480" t="s">
        <v>52</v>
      </c>
      <c r="F480">
        <v>3</v>
      </c>
      <c r="G480">
        <v>1395.04</v>
      </c>
      <c r="H480">
        <v>4185.12</v>
      </c>
      <c r="I480" t="s">
        <v>47</v>
      </c>
    </row>
    <row r="481" spans="1:9">
      <c r="A481" t="s">
        <v>888</v>
      </c>
      <c r="B481" t="s">
        <v>726</v>
      </c>
      <c r="C481" t="s">
        <v>337</v>
      </c>
      <c r="D481" t="s">
        <v>59</v>
      </c>
      <c r="E481" t="s">
        <v>40</v>
      </c>
      <c r="F481">
        <v>2</v>
      </c>
      <c r="G481">
        <v>1534.73</v>
      </c>
      <c r="H481">
        <v>3069.46</v>
      </c>
      <c r="I481" t="s">
        <v>31</v>
      </c>
    </row>
    <row r="482" spans="1:9">
      <c r="A482" t="s">
        <v>889</v>
      </c>
      <c r="B482" t="s">
        <v>890</v>
      </c>
      <c r="C482" t="s">
        <v>118</v>
      </c>
      <c r="D482" t="s">
        <v>79</v>
      </c>
      <c r="E482" t="s">
        <v>52</v>
      </c>
      <c r="F482">
        <v>3</v>
      </c>
      <c r="G482">
        <v>504.21</v>
      </c>
      <c r="H482">
        <v>1512.63</v>
      </c>
      <c r="I482" t="s">
        <v>47</v>
      </c>
    </row>
    <row r="483" spans="1:9">
      <c r="A483" t="s">
        <v>891</v>
      </c>
      <c r="B483" t="s">
        <v>766</v>
      </c>
      <c r="C483" t="s">
        <v>68</v>
      </c>
      <c r="D483" t="s">
        <v>18</v>
      </c>
      <c r="E483" t="s">
        <v>19</v>
      </c>
      <c r="F483">
        <v>5</v>
      </c>
      <c r="G483">
        <v>205.61</v>
      </c>
      <c r="H483">
        <v>1028.05</v>
      </c>
      <c r="I483" t="s">
        <v>14</v>
      </c>
    </row>
    <row r="484" spans="1:9">
      <c r="A484" t="s">
        <v>892</v>
      </c>
      <c r="B484" t="s">
        <v>196</v>
      </c>
      <c r="C484" t="s">
        <v>343</v>
      </c>
      <c r="D484" t="s">
        <v>79</v>
      </c>
      <c r="E484" t="s">
        <v>52</v>
      </c>
      <c r="F484">
        <v>3</v>
      </c>
      <c r="G484">
        <v>1529.3</v>
      </c>
      <c r="H484">
        <v>4587.8999999999996</v>
      </c>
      <c r="I484" t="s">
        <v>23</v>
      </c>
    </row>
    <row r="485" spans="1:9">
      <c r="A485" t="s">
        <v>893</v>
      </c>
      <c r="B485" t="s">
        <v>380</v>
      </c>
      <c r="C485" t="s">
        <v>238</v>
      </c>
      <c r="D485" t="s">
        <v>79</v>
      </c>
      <c r="E485" t="s">
        <v>52</v>
      </c>
      <c r="F485">
        <v>4</v>
      </c>
      <c r="G485">
        <v>900.41</v>
      </c>
      <c r="H485">
        <v>3601.64</v>
      </c>
      <c r="I485" t="s">
        <v>23</v>
      </c>
    </row>
    <row r="486" spans="1:9">
      <c r="A486" t="s">
        <v>894</v>
      </c>
      <c r="B486" t="s">
        <v>33</v>
      </c>
      <c r="C486" t="s">
        <v>752</v>
      </c>
      <c r="D486" t="s">
        <v>51</v>
      </c>
      <c r="E486" t="s">
        <v>52</v>
      </c>
      <c r="F486">
        <v>2</v>
      </c>
      <c r="G486">
        <v>1205.2</v>
      </c>
      <c r="H486">
        <v>2410.4</v>
      </c>
      <c r="I486" t="s">
        <v>14</v>
      </c>
    </row>
    <row r="487" spans="1:9">
      <c r="A487" t="s">
        <v>895</v>
      </c>
      <c r="B487" t="s">
        <v>896</v>
      </c>
      <c r="C487" t="s">
        <v>62</v>
      </c>
      <c r="D487" t="s">
        <v>35</v>
      </c>
      <c r="E487" t="s">
        <v>13</v>
      </c>
      <c r="F487">
        <v>4</v>
      </c>
      <c r="G487">
        <v>366.09</v>
      </c>
      <c r="H487">
        <v>1464.36</v>
      </c>
      <c r="I487" t="s">
        <v>23</v>
      </c>
    </row>
    <row r="488" spans="1:9">
      <c r="A488" t="s">
        <v>897</v>
      </c>
      <c r="B488" t="s">
        <v>155</v>
      </c>
      <c r="C488" t="s">
        <v>290</v>
      </c>
      <c r="D488" t="s">
        <v>35</v>
      </c>
      <c r="E488" t="s">
        <v>13</v>
      </c>
      <c r="F488">
        <v>1</v>
      </c>
      <c r="G488">
        <v>1572.63</v>
      </c>
      <c r="H488">
        <v>1572.63</v>
      </c>
      <c r="I488" t="s">
        <v>23</v>
      </c>
    </row>
    <row r="489" spans="1:9">
      <c r="A489" t="s">
        <v>898</v>
      </c>
      <c r="B489" t="s">
        <v>560</v>
      </c>
      <c r="C489" t="s">
        <v>186</v>
      </c>
      <c r="D489" t="s">
        <v>12</v>
      </c>
      <c r="E489" t="s">
        <v>13</v>
      </c>
      <c r="F489">
        <v>4</v>
      </c>
      <c r="G489">
        <v>1605.85</v>
      </c>
      <c r="H489">
        <v>6423.4</v>
      </c>
      <c r="I489" t="s">
        <v>31</v>
      </c>
    </row>
    <row r="490" spans="1:9">
      <c r="A490" t="s">
        <v>899</v>
      </c>
      <c r="B490" t="s">
        <v>616</v>
      </c>
      <c r="C490" t="s">
        <v>159</v>
      </c>
      <c r="D490" t="s">
        <v>110</v>
      </c>
      <c r="E490" t="s">
        <v>52</v>
      </c>
      <c r="F490">
        <v>5</v>
      </c>
      <c r="G490">
        <v>812.96</v>
      </c>
      <c r="H490">
        <v>4064.8</v>
      </c>
      <c r="I490" t="s">
        <v>47</v>
      </c>
    </row>
    <row r="491" spans="1:9">
      <c r="A491" t="s">
        <v>900</v>
      </c>
      <c r="B491" t="s">
        <v>901</v>
      </c>
      <c r="C491" t="s">
        <v>340</v>
      </c>
      <c r="D491" t="s">
        <v>30</v>
      </c>
      <c r="E491" t="s">
        <v>19</v>
      </c>
      <c r="F491">
        <v>3</v>
      </c>
      <c r="G491">
        <v>847.97</v>
      </c>
      <c r="H491">
        <v>2543.91</v>
      </c>
      <c r="I491" t="s">
        <v>14</v>
      </c>
    </row>
    <row r="492" spans="1:9">
      <c r="A492" t="s">
        <v>902</v>
      </c>
      <c r="B492" t="s">
        <v>198</v>
      </c>
      <c r="C492" t="s">
        <v>548</v>
      </c>
      <c r="D492" t="s">
        <v>51</v>
      </c>
      <c r="E492" t="s">
        <v>52</v>
      </c>
      <c r="F492">
        <v>5</v>
      </c>
      <c r="G492">
        <v>1519.85</v>
      </c>
      <c r="H492">
        <v>7599.25</v>
      </c>
      <c r="I492" t="s">
        <v>14</v>
      </c>
    </row>
    <row r="493" spans="1:9">
      <c r="A493" t="s">
        <v>903</v>
      </c>
      <c r="B493" t="s">
        <v>611</v>
      </c>
      <c r="C493" t="s">
        <v>467</v>
      </c>
      <c r="D493" t="s">
        <v>18</v>
      </c>
      <c r="E493" t="s">
        <v>19</v>
      </c>
      <c r="F493">
        <v>3</v>
      </c>
      <c r="G493">
        <v>1017.82</v>
      </c>
      <c r="H493">
        <v>3053.46</v>
      </c>
      <c r="I493" t="s">
        <v>23</v>
      </c>
    </row>
    <row r="494" spans="1:9">
      <c r="A494" t="s">
        <v>904</v>
      </c>
      <c r="B494" t="s">
        <v>54</v>
      </c>
      <c r="C494" t="s">
        <v>228</v>
      </c>
      <c r="D494" t="s">
        <v>39</v>
      </c>
      <c r="E494" t="s">
        <v>40</v>
      </c>
      <c r="F494">
        <v>2</v>
      </c>
      <c r="G494">
        <v>639.80999999999995</v>
      </c>
      <c r="H494">
        <v>1279.6199999999999</v>
      </c>
      <c r="I494" t="s">
        <v>14</v>
      </c>
    </row>
    <row r="495" spans="1:9">
      <c r="A495" t="s">
        <v>905</v>
      </c>
      <c r="B495" t="s">
        <v>635</v>
      </c>
      <c r="C495" t="s">
        <v>189</v>
      </c>
      <c r="D495" t="s">
        <v>51</v>
      </c>
      <c r="E495" t="s">
        <v>52</v>
      </c>
      <c r="F495">
        <v>2</v>
      </c>
      <c r="G495">
        <v>1479.35</v>
      </c>
      <c r="H495">
        <v>2958.7</v>
      </c>
      <c r="I495" t="s">
        <v>31</v>
      </c>
    </row>
    <row r="496" spans="1:9">
      <c r="A496" t="s">
        <v>906</v>
      </c>
      <c r="B496" t="s">
        <v>907</v>
      </c>
      <c r="C496" t="s">
        <v>378</v>
      </c>
      <c r="D496" t="s">
        <v>18</v>
      </c>
      <c r="E496" t="s">
        <v>19</v>
      </c>
      <c r="F496">
        <v>5</v>
      </c>
      <c r="G496">
        <v>887.75</v>
      </c>
      <c r="H496">
        <v>4438.75</v>
      </c>
      <c r="I496" t="s">
        <v>31</v>
      </c>
    </row>
    <row r="497" spans="1:9">
      <c r="A497" t="s">
        <v>908</v>
      </c>
      <c r="B497" t="s">
        <v>909</v>
      </c>
      <c r="C497" t="s">
        <v>65</v>
      </c>
      <c r="D497" t="s">
        <v>59</v>
      </c>
      <c r="E497" t="s">
        <v>40</v>
      </c>
      <c r="F497">
        <v>5</v>
      </c>
      <c r="G497">
        <v>292.10000000000002</v>
      </c>
      <c r="H497">
        <v>1460.5</v>
      </c>
      <c r="I497" t="s">
        <v>47</v>
      </c>
    </row>
    <row r="498" spans="1:9">
      <c r="A498" t="s">
        <v>910</v>
      </c>
      <c r="B498" t="s">
        <v>911</v>
      </c>
      <c r="C498" t="s">
        <v>361</v>
      </c>
      <c r="D498" t="s">
        <v>35</v>
      </c>
      <c r="E498" t="s">
        <v>13</v>
      </c>
      <c r="F498">
        <v>2</v>
      </c>
      <c r="G498">
        <v>816.2</v>
      </c>
      <c r="H498">
        <v>1632.4</v>
      </c>
      <c r="I498" t="s">
        <v>47</v>
      </c>
    </row>
    <row r="499" spans="1:9">
      <c r="A499" t="s">
        <v>912</v>
      </c>
      <c r="B499" t="s">
        <v>913</v>
      </c>
      <c r="C499" t="s">
        <v>290</v>
      </c>
      <c r="D499" t="s">
        <v>35</v>
      </c>
      <c r="E499" t="s">
        <v>13</v>
      </c>
      <c r="F499">
        <v>2</v>
      </c>
      <c r="G499">
        <v>788</v>
      </c>
      <c r="H499">
        <v>1576</v>
      </c>
      <c r="I499" t="s">
        <v>23</v>
      </c>
    </row>
    <row r="500" spans="1:9">
      <c r="A500" t="s">
        <v>914</v>
      </c>
      <c r="B500" t="s">
        <v>155</v>
      </c>
      <c r="C500" t="s">
        <v>403</v>
      </c>
      <c r="D500" t="s">
        <v>18</v>
      </c>
      <c r="E500" t="s">
        <v>19</v>
      </c>
      <c r="F500">
        <v>5</v>
      </c>
      <c r="G500">
        <v>1706.97</v>
      </c>
      <c r="H500">
        <v>8534.85</v>
      </c>
      <c r="I500" t="s">
        <v>31</v>
      </c>
    </row>
    <row r="501" spans="1:9">
      <c r="A501" t="s">
        <v>915</v>
      </c>
      <c r="B501" t="s">
        <v>54</v>
      </c>
      <c r="C501" t="s">
        <v>403</v>
      </c>
      <c r="D501" t="s">
        <v>35</v>
      </c>
      <c r="E501" t="s">
        <v>13</v>
      </c>
      <c r="F501">
        <v>5</v>
      </c>
      <c r="G501">
        <v>1586.67</v>
      </c>
      <c r="H501">
        <v>7933.35</v>
      </c>
      <c r="I501"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51D5-9114-422B-A1D0-175DDFE8C757}">
  <dimension ref="A1:L501"/>
  <sheetViews>
    <sheetView workbookViewId="0">
      <selection activeCell="L3" sqref="L3"/>
    </sheetView>
  </sheetViews>
  <sheetFormatPr defaultRowHeight="14.4"/>
  <cols>
    <col min="1" max="1" width="10.21875" bestFit="1" customWidth="1"/>
    <col min="2" max="2" width="12.33203125" style="1" bestFit="1" customWidth="1"/>
    <col min="3" max="3" width="13.5546875" bestFit="1" customWidth="1"/>
    <col min="4" max="4" width="11.109375" bestFit="1" customWidth="1"/>
    <col min="5" max="5" width="10.77734375" bestFit="1" customWidth="1"/>
    <col min="6" max="6" width="10.5546875" bestFit="1" customWidth="1"/>
    <col min="7" max="7" width="8" bestFit="1" customWidth="1"/>
    <col min="8" max="8" width="10.5546875" bestFit="1" customWidth="1"/>
    <col min="9" max="9" width="12.88671875" customWidth="1"/>
  </cols>
  <sheetData>
    <row r="1" spans="1:12">
      <c r="A1" t="s">
        <v>0</v>
      </c>
      <c r="B1" s="1" t="s">
        <v>1</v>
      </c>
      <c r="C1" t="s">
        <v>2</v>
      </c>
      <c r="D1" t="s">
        <v>3</v>
      </c>
      <c r="E1" t="s">
        <v>4</v>
      </c>
      <c r="F1" t="s">
        <v>5</v>
      </c>
      <c r="G1" t="s">
        <v>6</v>
      </c>
      <c r="H1" t="s">
        <v>7</v>
      </c>
      <c r="I1" t="s">
        <v>8</v>
      </c>
      <c r="J1" t="s">
        <v>916</v>
      </c>
      <c r="K1" t="s">
        <v>917</v>
      </c>
      <c r="L1" t="s">
        <v>918</v>
      </c>
    </row>
    <row r="2" spans="1:12">
      <c r="A2" t="s">
        <v>9</v>
      </c>
      <c r="B2" s="1" t="s">
        <v>10</v>
      </c>
      <c r="C2" t="s">
        <v>11</v>
      </c>
      <c r="D2" t="s">
        <v>12</v>
      </c>
      <c r="E2" t="s">
        <v>13</v>
      </c>
      <c r="F2">
        <v>1</v>
      </c>
      <c r="G2">
        <v>1205.7</v>
      </c>
      <c r="H2">
        <v>1205.7</v>
      </c>
      <c r="I2" t="s">
        <v>14</v>
      </c>
      <c r="J2">
        <f xml:space="preserve"> Sales_Data[[#This Row],[Quantity]] * Sales_Data[[#This Row],[Price]]</f>
        <v>1205.7</v>
      </c>
      <c r="K2" t="str">
        <f>TEXT(Sales_Data[[#This Row],[Order Date]],"MMM")</f>
        <v>Apr</v>
      </c>
      <c r="L2">
        <f>YEAR(Sales_Data[[#This Row],[Order Date]])</f>
        <v>2023</v>
      </c>
    </row>
    <row r="3" spans="1:12">
      <c r="A3" t="s">
        <v>15</v>
      </c>
      <c r="B3" s="1" t="s">
        <v>16</v>
      </c>
      <c r="C3" t="s">
        <v>17</v>
      </c>
      <c r="D3" t="s">
        <v>18</v>
      </c>
      <c r="E3" t="s">
        <v>19</v>
      </c>
      <c r="F3">
        <v>3</v>
      </c>
      <c r="G3">
        <v>1274.03</v>
      </c>
      <c r="H3">
        <v>3822.09</v>
      </c>
      <c r="I3" t="s">
        <v>14</v>
      </c>
      <c r="J3">
        <f xml:space="preserve"> Sales_Data[[#This Row],[Quantity]] * Sales_Data[[#This Row],[Price]]</f>
        <v>3822.09</v>
      </c>
      <c r="K3" t="str">
        <f>TEXT(Sales_Data[[#This Row],[Order Date]],"MMM")</f>
        <v>Jan</v>
      </c>
      <c r="L3">
        <f>YEAR(Sales_Data[[#This Row],[Order Date]])</f>
        <v>2023</v>
      </c>
    </row>
    <row r="4" spans="1:12">
      <c r="A4" t="s">
        <v>20</v>
      </c>
      <c r="B4" s="1" t="s">
        <v>21</v>
      </c>
      <c r="C4" t="s">
        <v>22</v>
      </c>
      <c r="D4" t="s">
        <v>12</v>
      </c>
      <c r="E4" t="s">
        <v>13</v>
      </c>
      <c r="F4">
        <v>2</v>
      </c>
      <c r="G4">
        <v>1220.55</v>
      </c>
      <c r="H4">
        <v>2441.1</v>
      </c>
      <c r="I4" t="s">
        <v>23</v>
      </c>
      <c r="J4">
        <f xml:space="preserve"> Sales_Data[[#This Row],[Quantity]] * Sales_Data[[#This Row],[Price]]</f>
        <v>2441.1</v>
      </c>
      <c r="K4" t="str">
        <f>TEXT(Sales_Data[[#This Row],[Order Date]],"MMM")</f>
        <v>Aug</v>
      </c>
      <c r="L4">
        <f>YEAR(Sales_Data[[#This Row],[Order Date]])</f>
        <v>2023</v>
      </c>
    </row>
    <row r="5" spans="1:12">
      <c r="A5" t="s">
        <v>24</v>
      </c>
      <c r="B5" s="1" t="s">
        <v>25</v>
      </c>
      <c r="C5" t="s">
        <v>26</v>
      </c>
      <c r="D5" t="s">
        <v>18</v>
      </c>
      <c r="E5" t="s">
        <v>19</v>
      </c>
      <c r="F5">
        <v>4</v>
      </c>
      <c r="G5">
        <v>1503.38</v>
      </c>
      <c r="H5">
        <v>6013.52</v>
      </c>
      <c r="I5" t="s">
        <v>14</v>
      </c>
      <c r="J5">
        <f xml:space="preserve"> Sales_Data[[#This Row],[Quantity]] * Sales_Data[[#This Row],[Price]]</f>
        <v>6013.52</v>
      </c>
      <c r="K5" t="str">
        <f>TEXT(Sales_Data[[#This Row],[Order Date]],"MMM")</f>
        <v>Jul</v>
      </c>
      <c r="L5">
        <f>YEAR(Sales_Data[[#This Row],[Order Date]])</f>
        <v>2023</v>
      </c>
    </row>
    <row r="6" spans="1:12">
      <c r="A6" t="s">
        <v>27</v>
      </c>
      <c r="B6" s="1" t="s">
        <v>28</v>
      </c>
      <c r="C6" t="s">
        <v>29</v>
      </c>
      <c r="D6" t="s">
        <v>30</v>
      </c>
      <c r="E6" t="s">
        <v>19</v>
      </c>
      <c r="F6">
        <v>3</v>
      </c>
      <c r="G6">
        <v>255.7</v>
      </c>
      <c r="H6">
        <v>767.1</v>
      </c>
      <c r="I6" t="s">
        <v>31</v>
      </c>
      <c r="J6">
        <f xml:space="preserve"> Sales_Data[[#This Row],[Quantity]] * Sales_Data[[#This Row],[Price]]</f>
        <v>767.09999999999991</v>
      </c>
      <c r="K6" t="str">
        <f>TEXT(Sales_Data[[#This Row],[Order Date]],"MMM")</f>
        <v>Jan</v>
      </c>
      <c r="L6">
        <f>YEAR(Sales_Data[[#This Row],[Order Date]])</f>
        <v>2023</v>
      </c>
    </row>
    <row r="7" spans="1:12">
      <c r="A7" t="s">
        <v>32</v>
      </c>
      <c r="B7" s="1" t="s">
        <v>33</v>
      </c>
      <c r="C7" t="s">
        <v>34</v>
      </c>
      <c r="D7" t="s">
        <v>35</v>
      </c>
      <c r="E7" t="s">
        <v>13</v>
      </c>
      <c r="F7">
        <v>1</v>
      </c>
      <c r="G7">
        <v>1996.53</v>
      </c>
      <c r="H7">
        <v>1996.53</v>
      </c>
      <c r="I7" t="s">
        <v>23</v>
      </c>
      <c r="J7">
        <f xml:space="preserve"> Sales_Data[[#This Row],[Quantity]] * Sales_Data[[#This Row],[Price]]</f>
        <v>1996.53</v>
      </c>
      <c r="K7" t="str">
        <f>TEXT(Sales_Data[[#This Row],[Order Date]],"MMM")</f>
        <v>Dec</v>
      </c>
      <c r="L7">
        <f>YEAR(Sales_Data[[#This Row],[Order Date]])</f>
        <v>2023</v>
      </c>
    </row>
    <row r="8" spans="1:12">
      <c r="A8" t="s">
        <v>36</v>
      </c>
      <c r="B8" s="1" t="s">
        <v>37</v>
      </c>
      <c r="C8" t="s">
        <v>38</v>
      </c>
      <c r="D8" t="s">
        <v>39</v>
      </c>
      <c r="E8" t="s">
        <v>40</v>
      </c>
      <c r="F8">
        <v>3</v>
      </c>
      <c r="G8">
        <v>577.59</v>
      </c>
      <c r="H8">
        <v>1732.77</v>
      </c>
      <c r="I8" t="s">
        <v>31</v>
      </c>
      <c r="J8">
        <f xml:space="preserve"> Sales_Data[[#This Row],[Quantity]] * Sales_Data[[#This Row],[Price]]</f>
        <v>1732.77</v>
      </c>
      <c r="K8" t="str">
        <f>TEXT(Sales_Data[[#This Row],[Order Date]],"MMM")</f>
        <v>Jul</v>
      </c>
      <c r="L8">
        <f>YEAR(Sales_Data[[#This Row],[Order Date]])</f>
        <v>2023</v>
      </c>
    </row>
    <row r="9" spans="1:12">
      <c r="A9" t="s">
        <v>41</v>
      </c>
      <c r="B9" s="1" t="s">
        <v>42</v>
      </c>
      <c r="C9" t="s">
        <v>43</v>
      </c>
      <c r="D9" t="s">
        <v>18</v>
      </c>
      <c r="E9" t="s">
        <v>19</v>
      </c>
      <c r="F9">
        <v>5</v>
      </c>
      <c r="G9">
        <v>115.58</v>
      </c>
      <c r="H9">
        <v>577.9</v>
      </c>
      <c r="I9" t="s">
        <v>31</v>
      </c>
      <c r="J9">
        <f xml:space="preserve"> Sales_Data[[#This Row],[Quantity]] * Sales_Data[[#This Row],[Price]]</f>
        <v>577.9</v>
      </c>
      <c r="K9" t="str">
        <f>TEXT(Sales_Data[[#This Row],[Order Date]],"MMM")</f>
        <v>May</v>
      </c>
      <c r="L9">
        <f>YEAR(Sales_Data[[#This Row],[Order Date]])</f>
        <v>2023</v>
      </c>
    </row>
    <row r="10" spans="1:12">
      <c r="A10" t="s">
        <v>44</v>
      </c>
      <c r="B10" s="1" t="s">
        <v>45</v>
      </c>
      <c r="C10" t="s">
        <v>46</v>
      </c>
      <c r="D10" t="s">
        <v>35</v>
      </c>
      <c r="E10" t="s">
        <v>13</v>
      </c>
      <c r="F10">
        <v>3</v>
      </c>
      <c r="G10">
        <v>958.51</v>
      </c>
      <c r="H10">
        <v>2875.53</v>
      </c>
      <c r="I10" t="s">
        <v>47</v>
      </c>
      <c r="J10">
        <f xml:space="preserve"> Sales_Data[[#This Row],[Quantity]] * Sales_Data[[#This Row],[Price]]</f>
        <v>2875.5299999999997</v>
      </c>
      <c r="K10" t="str">
        <f>TEXT(Sales_Data[[#This Row],[Order Date]],"MMM")</f>
        <v>Dec</v>
      </c>
      <c r="L10">
        <f>YEAR(Sales_Data[[#This Row],[Order Date]])</f>
        <v>2023</v>
      </c>
    </row>
    <row r="11" spans="1:12">
      <c r="A11" t="s">
        <v>48</v>
      </c>
      <c r="B11" s="1" t="s">
        <v>49</v>
      </c>
      <c r="C11" t="s">
        <v>50</v>
      </c>
      <c r="D11" t="s">
        <v>51</v>
      </c>
      <c r="E11" t="s">
        <v>52</v>
      </c>
      <c r="F11">
        <v>2</v>
      </c>
      <c r="G11">
        <v>946.76</v>
      </c>
      <c r="H11">
        <v>1893.52</v>
      </c>
      <c r="I11" t="s">
        <v>47</v>
      </c>
      <c r="J11">
        <f xml:space="preserve"> Sales_Data[[#This Row],[Quantity]] * Sales_Data[[#This Row],[Price]]</f>
        <v>1893.52</v>
      </c>
      <c r="K11" t="str">
        <f>TEXT(Sales_Data[[#This Row],[Order Date]],"MMM")</f>
        <v>Jan</v>
      </c>
      <c r="L11">
        <f>YEAR(Sales_Data[[#This Row],[Order Date]])</f>
        <v>2023</v>
      </c>
    </row>
    <row r="12" spans="1:12">
      <c r="A12" t="s">
        <v>53</v>
      </c>
      <c r="B12" s="1" t="s">
        <v>54</v>
      </c>
      <c r="C12" t="s">
        <v>55</v>
      </c>
      <c r="D12" t="s">
        <v>51</v>
      </c>
      <c r="E12" t="s">
        <v>52</v>
      </c>
      <c r="F12">
        <v>3</v>
      </c>
      <c r="G12">
        <v>1052.33</v>
      </c>
      <c r="H12">
        <v>3156.99</v>
      </c>
      <c r="I12" t="s">
        <v>31</v>
      </c>
      <c r="J12">
        <f xml:space="preserve"> Sales_Data[[#This Row],[Quantity]] * Sales_Data[[#This Row],[Price]]</f>
        <v>3156.99</v>
      </c>
      <c r="K12" t="str">
        <f>TEXT(Sales_Data[[#This Row],[Order Date]],"MMM")</f>
        <v>Dec</v>
      </c>
      <c r="L12">
        <f>YEAR(Sales_Data[[#This Row],[Order Date]])</f>
        <v>2023</v>
      </c>
    </row>
    <row r="13" spans="1:12">
      <c r="A13" t="s">
        <v>56</v>
      </c>
      <c r="B13" s="1" t="s">
        <v>57</v>
      </c>
      <c r="C13" t="s">
        <v>58</v>
      </c>
      <c r="D13" t="s">
        <v>59</v>
      </c>
      <c r="E13" t="s">
        <v>40</v>
      </c>
      <c r="F13">
        <v>2</v>
      </c>
      <c r="G13">
        <v>1384.57</v>
      </c>
      <c r="H13">
        <v>2769.14</v>
      </c>
      <c r="I13" t="s">
        <v>14</v>
      </c>
      <c r="J13">
        <f xml:space="preserve"> Sales_Data[[#This Row],[Quantity]] * Sales_Data[[#This Row],[Price]]</f>
        <v>2769.14</v>
      </c>
      <c r="K13" t="str">
        <f>TEXT(Sales_Data[[#This Row],[Order Date]],"MMM")</f>
        <v>Apr</v>
      </c>
      <c r="L13">
        <f>YEAR(Sales_Data[[#This Row],[Order Date]])</f>
        <v>2023</v>
      </c>
    </row>
    <row r="14" spans="1:12">
      <c r="A14" t="s">
        <v>60</v>
      </c>
      <c r="B14" s="1" t="s">
        <v>61</v>
      </c>
      <c r="C14" t="s">
        <v>62</v>
      </c>
      <c r="D14" t="s">
        <v>51</v>
      </c>
      <c r="E14" t="s">
        <v>52</v>
      </c>
      <c r="F14">
        <v>5</v>
      </c>
      <c r="G14">
        <v>499.22</v>
      </c>
      <c r="H14">
        <v>2496.1</v>
      </c>
      <c r="I14" t="s">
        <v>47</v>
      </c>
      <c r="J14">
        <f xml:space="preserve"> Sales_Data[[#This Row],[Quantity]] * Sales_Data[[#This Row],[Price]]</f>
        <v>2496.1000000000004</v>
      </c>
      <c r="K14" t="str">
        <f>TEXT(Sales_Data[[#This Row],[Order Date]],"MMM")</f>
        <v>Jun</v>
      </c>
      <c r="L14">
        <f>YEAR(Sales_Data[[#This Row],[Order Date]])</f>
        <v>2023</v>
      </c>
    </row>
    <row r="15" spans="1:12">
      <c r="A15" t="s">
        <v>63</v>
      </c>
      <c r="B15" s="1" t="s">
        <v>64</v>
      </c>
      <c r="C15" t="s">
        <v>65</v>
      </c>
      <c r="D15" t="s">
        <v>59</v>
      </c>
      <c r="E15" t="s">
        <v>40</v>
      </c>
      <c r="F15">
        <v>3</v>
      </c>
      <c r="G15">
        <v>1668.43</v>
      </c>
      <c r="H15">
        <v>5005.29</v>
      </c>
      <c r="I15" t="s">
        <v>31</v>
      </c>
      <c r="J15">
        <f xml:space="preserve"> Sales_Data[[#This Row],[Quantity]] * Sales_Data[[#This Row],[Price]]</f>
        <v>5005.29</v>
      </c>
      <c r="K15" t="str">
        <f>TEXT(Sales_Data[[#This Row],[Order Date]],"MMM")</f>
        <v>Nov</v>
      </c>
      <c r="L15">
        <f>YEAR(Sales_Data[[#This Row],[Order Date]])</f>
        <v>2023</v>
      </c>
    </row>
    <row r="16" spans="1:12">
      <c r="A16" t="s">
        <v>66</v>
      </c>
      <c r="B16" s="1" t="s">
        <v>67</v>
      </c>
      <c r="C16" t="s">
        <v>68</v>
      </c>
      <c r="D16" t="s">
        <v>12</v>
      </c>
      <c r="E16" t="s">
        <v>13</v>
      </c>
      <c r="F16">
        <v>1</v>
      </c>
      <c r="G16">
        <v>619.61</v>
      </c>
      <c r="H16">
        <v>619.61</v>
      </c>
      <c r="I16" t="s">
        <v>23</v>
      </c>
      <c r="J16">
        <f xml:space="preserve"> Sales_Data[[#This Row],[Quantity]] * Sales_Data[[#This Row],[Price]]</f>
        <v>619.61</v>
      </c>
      <c r="K16" t="str">
        <f>TEXT(Sales_Data[[#This Row],[Order Date]],"MMM")</f>
        <v>Apr</v>
      </c>
      <c r="L16">
        <f>YEAR(Sales_Data[[#This Row],[Order Date]])</f>
        <v>2023</v>
      </c>
    </row>
    <row r="17" spans="1:12">
      <c r="A17" t="s">
        <v>69</v>
      </c>
      <c r="B17" s="1" t="s">
        <v>61</v>
      </c>
      <c r="C17" t="s">
        <v>70</v>
      </c>
      <c r="D17" t="s">
        <v>39</v>
      </c>
      <c r="E17" t="s">
        <v>40</v>
      </c>
      <c r="F17">
        <v>3</v>
      </c>
      <c r="G17">
        <v>1079.76</v>
      </c>
      <c r="H17">
        <v>3239.28</v>
      </c>
      <c r="I17" t="s">
        <v>23</v>
      </c>
      <c r="J17">
        <f xml:space="preserve"> Sales_Data[[#This Row],[Quantity]] * Sales_Data[[#This Row],[Price]]</f>
        <v>3239.2799999999997</v>
      </c>
      <c r="K17" t="str">
        <f>TEXT(Sales_Data[[#This Row],[Order Date]],"MMM")</f>
        <v>Jun</v>
      </c>
      <c r="L17">
        <f>YEAR(Sales_Data[[#This Row],[Order Date]])</f>
        <v>2023</v>
      </c>
    </row>
    <row r="18" spans="1:12">
      <c r="A18" t="s">
        <v>71</v>
      </c>
      <c r="B18" s="1" t="s">
        <v>72</v>
      </c>
      <c r="C18" t="s">
        <v>73</v>
      </c>
      <c r="D18" t="s">
        <v>30</v>
      </c>
      <c r="E18" t="s">
        <v>19</v>
      </c>
      <c r="F18">
        <v>5</v>
      </c>
      <c r="G18">
        <v>290.12</v>
      </c>
      <c r="H18">
        <v>1450.6</v>
      </c>
      <c r="I18" t="s">
        <v>14</v>
      </c>
      <c r="J18">
        <f xml:space="preserve"> Sales_Data[[#This Row],[Quantity]] * Sales_Data[[#This Row],[Price]]</f>
        <v>1450.6</v>
      </c>
      <c r="K18" t="str">
        <f>TEXT(Sales_Data[[#This Row],[Order Date]],"MMM")</f>
        <v>Jun</v>
      </c>
      <c r="L18">
        <f>YEAR(Sales_Data[[#This Row],[Order Date]])</f>
        <v>2023</v>
      </c>
    </row>
    <row r="19" spans="1:12">
      <c r="A19" t="s">
        <v>74</v>
      </c>
      <c r="B19" s="1" t="s">
        <v>75</v>
      </c>
      <c r="C19" t="s">
        <v>58</v>
      </c>
      <c r="D19" t="s">
        <v>39</v>
      </c>
      <c r="E19" t="s">
        <v>40</v>
      </c>
      <c r="F19">
        <v>5</v>
      </c>
      <c r="G19">
        <v>803.79</v>
      </c>
      <c r="H19">
        <v>4018.95</v>
      </c>
      <c r="I19" t="s">
        <v>31</v>
      </c>
      <c r="J19">
        <f xml:space="preserve"> Sales_Data[[#This Row],[Quantity]] * Sales_Data[[#This Row],[Price]]</f>
        <v>4018.95</v>
      </c>
      <c r="K19" t="str">
        <f>TEXT(Sales_Data[[#This Row],[Order Date]],"MMM")</f>
        <v>Oct</v>
      </c>
      <c r="L19">
        <f>YEAR(Sales_Data[[#This Row],[Order Date]])</f>
        <v>2023</v>
      </c>
    </row>
    <row r="20" spans="1:12">
      <c r="A20" t="s">
        <v>76</v>
      </c>
      <c r="B20" s="1" t="s">
        <v>77</v>
      </c>
      <c r="C20" t="s">
        <v>78</v>
      </c>
      <c r="D20" t="s">
        <v>79</v>
      </c>
      <c r="E20" t="s">
        <v>52</v>
      </c>
      <c r="F20">
        <v>2</v>
      </c>
      <c r="G20">
        <v>1215.4000000000001</v>
      </c>
      <c r="H20">
        <v>2430.8000000000002</v>
      </c>
      <c r="I20" t="s">
        <v>31</v>
      </c>
      <c r="J20">
        <f xml:space="preserve"> Sales_Data[[#This Row],[Quantity]] * Sales_Data[[#This Row],[Price]]</f>
        <v>2430.8000000000002</v>
      </c>
      <c r="K20" t="str">
        <f>TEXT(Sales_Data[[#This Row],[Order Date]],"MMM")</f>
        <v>Feb</v>
      </c>
      <c r="L20">
        <f>YEAR(Sales_Data[[#This Row],[Order Date]])</f>
        <v>2023</v>
      </c>
    </row>
    <row r="21" spans="1:12">
      <c r="A21" t="s">
        <v>80</v>
      </c>
      <c r="B21" s="1" t="s">
        <v>81</v>
      </c>
      <c r="C21" t="s">
        <v>82</v>
      </c>
      <c r="D21" t="s">
        <v>51</v>
      </c>
      <c r="E21" t="s">
        <v>52</v>
      </c>
      <c r="F21">
        <v>2</v>
      </c>
      <c r="G21">
        <v>294.24</v>
      </c>
      <c r="H21">
        <v>588.48</v>
      </c>
      <c r="I21" t="s">
        <v>31</v>
      </c>
      <c r="J21">
        <f xml:space="preserve"> Sales_Data[[#This Row],[Quantity]] * Sales_Data[[#This Row],[Price]]</f>
        <v>588.48</v>
      </c>
      <c r="K21" t="str">
        <f>TEXT(Sales_Data[[#This Row],[Order Date]],"MMM")</f>
        <v>Jan</v>
      </c>
      <c r="L21">
        <f>YEAR(Sales_Data[[#This Row],[Order Date]])</f>
        <v>2023</v>
      </c>
    </row>
    <row r="22" spans="1:12">
      <c r="A22" t="s">
        <v>83</v>
      </c>
      <c r="B22" s="1" t="s">
        <v>84</v>
      </c>
      <c r="C22" t="s">
        <v>43</v>
      </c>
      <c r="D22" t="s">
        <v>35</v>
      </c>
      <c r="E22" t="s">
        <v>13</v>
      </c>
      <c r="F22">
        <v>1</v>
      </c>
      <c r="G22">
        <v>1744.8</v>
      </c>
      <c r="H22">
        <v>1744.8</v>
      </c>
      <c r="I22" t="s">
        <v>23</v>
      </c>
      <c r="J22">
        <f xml:space="preserve"> Sales_Data[[#This Row],[Quantity]] * Sales_Data[[#This Row],[Price]]</f>
        <v>1744.8</v>
      </c>
      <c r="K22" t="str">
        <f>TEXT(Sales_Data[[#This Row],[Order Date]],"MMM")</f>
        <v>Dec</v>
      </c>
      <c r="L22">
        <f>YEAR(Sales_Data[[#This Row],[Order Date]])</f>
        <v>2023</v>
      </c>
    </row>
    <row r="23" spans="1:12">
      <c r="A23" t="s">
        <v>85</v>
      </c>
      <c r="B23" s="1" t="s">
        <v>86</v>
      </c>
      <c r="C23" t="s">
        <v>87</v>
      </c>
      <c r="D23" t="s">
        <v>39</v>
      </c>
      <c r="E23" t="s">
        <v>40</v>
      </c>
      <c r="F23">
        <v>5</v>
      </c>
      <c r="G23">
        <v>1308.72</v>
      </c>
      <c r="H23">
        <v>6543.6</v>
      </c>
      <c r="I23" t="s">
        <v>47</v>
      </c>
      <c r="J23">
        <f xml:space="preserve"> Sales_Data[[#This Row],[Quantity]] * Sales_Data[[#This Row],[Price]]</f>
        <v>6543.6</v>
      </c>
      <c r="K23" t="str">
        <f>TEXT(Sales_Data[[#This Row],[Order Date]],"MMM")</f>
        <v>Nov</v>
      </c>
      <c r="L23">
        <f>YEAR(Sales_Data[[#This Row],[Order Date]])</f>
        <v>2023</v>
      </c>
    </row>
    <row r="24" spans="1:12">
      <c r="A24" t="s">
        <v>88</v>
      </c>
      <c r="B24" s="1" t="s">
        <v>89</v>
      </c>
      <c r="C24" t="s">
        <v>90</v>
      </c>
      <c r="D24" t="s">
        <v>18</v>
      </c>
      <c r="E24" t="s">
        <v>19</v>
      </c>
      <c r="F24">
        <v>1</v>
      </c>
      <c r="G24">
        <v>1093.72</v>
      </c>
      <c r="H24">
        <v>1093.72</v>
      </c>
      <c r="I24" t="s">
        <v>31</v>
      </c>
      <c r="J24">
        <f xml:space="preserve"> Sales_Data[[#This Row],[Quantity]] * Sales_Data[[#This Row],[Price]]</f>
        <v>1093.72</v>
      </c>
      <c r="K24" t="str">
        <f>TEXT(Sales_Data[[#This Row],[Order Date]],"MMM")</f>
        <v>Apr</v>
      </c>
      <c r="L24">
        <f>YEAR(Sales_Data[[#This Row],[Order Date]])</f>
        <v>2023</v>
      </c>
    </row>
    <row r="25" spans="1:12">
      <c r="A25" t="s">
        <v>91</v>
      </c>
      <c r="B25" s="1" t="s">
        <v>92</v>
      </c>
      <c r="C25" t="s">
        <v>93</v>
      </c>
      <c r="D25" t="s">
        <v>79</v>
      </c>
      <c r="E25" t="s">
        <v>52</v>
      </c>
      <c r="F25">
        <v>4</v>
      </c>
      <c r="G25">
        <v>1483.1</v>
      </c>
      <c r="H25">
        <v>5932.4</v>
      </c>
      <c r="I25" t="s">
        <v>23</v>
      </c>
      <c r="J25">
        <f xml:space="preserve"> Sales_Data[[#This Row],[Quantity]] * Sales_Data[[#This Row],[Price]]</f>
        <v>5932.4</v>
      </c>
      <c r="K25" t="str">
        <f>TEXT(Sales_Data[[#This Row],[Order Date]],"MMM")</f>
        <v>Mar</v>
      </c>
      <c r="L25">
        <f>YEAR(Sales_Data[[#This Row],[Order Date]])</f>
        <v>2023</v>
      </c>
    </row>
    <row r="26" spans="1:12">
      <c r="A26" t="s">
        <v>94</v>
      </c>
      <c r="B26" s="1" t="s">
        <v>95</v>
      </c>
      <c r="C26" t="s">
        <v>96</v>
      </c>
      <c r="D26" t="s">
        <v>12</v>
      </c>
      <c r="E26" t="s">
        <v>13</v>
      </c>
      <c r="F26">
        <v>2</v>
      </c>
      <c r="G26">
        <v>295.07</v>
      </c>
      <c r="H26">
        <v>590.14</v>
      </c>
      <c r="I26" t="s">
        <v>31</v>
      </c>
      <c r="J26">
        <f xml:space="preserve"> Sales_Data[[#This Row],[Quantity]] * Sales_Data[[#This Row],[Price]]</f>
        <v>590.14</v>
      </c>
      <c r="K26" t="str">
        <f>TEXT(Sales_Data[[#This Row],[Order Date]],"MMM")</f>
        <v>Aug</v>
      </c>
      <c r="L26">
        <f>YEAR(Sales_Data[[#This Row],[Order Date]])</f>
        <v>2023</v>
      </c>
    </row>
    <row r="27" spans="1:12">
      <c r="A27" t="s">
        <v>97</v>
      </c>
      <c r="B27" s="1" t="s">
        <v>98</v>
      </c>
      <c r="C27" t="s">
        <v>99</v>
      </c>
      <c r="D27" t="s">
        <v>12</v>
      </c>
      <c r="E27" t="s">
        <v>13</v>
      </c>
      <c r="F27">
        <v>1</v>
      </c>
      <c r="G27">
        <v>1337.17</v>
      </c>
      <c r="H27">
        <v>1337.17</v>
      </c>
      <c r="I27" t="s">
        <v>14</v>
      </c>
      <c r="J27">
        <f xml:space="preserve"> Sales_Data[[#This Row],[Quantity]] * Sales_Data[[#This Row],[Price]]</f>
        <v>1337.17</v>
      </c>
      <c r="K27" t="str">
        <f>TEXT(Sales_Data[[#This Row],[Order Date]],"MMM")</f>
        <v>Sept</v>
      </c>
      <c r="L27">
        <f>YEAR(Sales_Data[[#This Row],[Order Date]])</f>
        <v>2023</v>
      </c>
    </row>
    <row r="28" spans="1:12">
      <c r="A28" t="s">
        <v>100</v>
      </c>
      <c r="B28" s="1" t="s">
        <v>101</v>
      </c>
      <c r="C28" t="s">
        <v>102</v>
      </c>
      <c r="D28" t="s">
        <v>30</v>
      </c>
      <c r="E28" t="s">
        <v>19</v>
      </c>
      <c r="F28">
        <v>3</v>
      </c>
      <c r="G28">
        <v>1201.3599999999999</v>
      </c>
      <c r="H28">
        <v>3604.08</v>
      </c>
      <c r="I28" t="s">
        <v>31</v>
      </c>
      <c r="J28">
        <f xml:space="preserve"> Sales_Data[[#This Row],[Quantity]] * Sales_Data[[#This Row],[Price]]</f>
        <v>3604.08</v>
      </c>
      <c r="K28" t="str">
        <f>TEXT(Sales_Data[[#This Row],[Order Date]],"MMM")</f>
        <v>May</v>
      </c>
      <c r="L28">
        <f>YEAR(Sales_Data[[#This Row],[Order Date]])</f>
        <v>2023</v>
      </c>
    </row>
    <row r="29" spans="1:12">
      <c r="A29" t="s">
        <v>103</v>
      </c>
      <c r="B29" s="1" t="s">
        <v>104</v>
      </c>
      <c r="C29" t="s">
        <v>105</v>
      </c>
      <c r="D29" t="s">
        <v>51</v>
      </c>
      <c r="E29" t="s">
        <v>52</v>
      </c>
      <c r="F29">
        <v>2</v>
      </c>
      <c r="G29">
        <v>950.83</v>
      </c>
      <c r="H29">
        <v>1901.66</v>
      </c>
      <c r="I29" t="s">
        <v>47</v>
      </c>
      <c r="J29">
        <f xml:space="preserve"> Sales_Data[[#This Row],[Quantity]] * Sales_Data[[#This Row],[Price]]</f>
        <v>1901.66</v>
      </c>
      <c r="K29" t="str">
        <f>TEXT(Sales_Data[[#This Row],[Order Date]],"MMM")</f>
        <v>Aug</v>
      </c>
      <c r="L29">
        <f>YEAR(Sales_Data[[#This Row],[Order Date]])</f>
        <v>2023</v>
      </c>
    </row>
    <row r="30" spans="1:12">
      <c r="A30" t="s">
        <v>106</v>
      </c>
      <c r="B30" s="1" t="s">
        <v>107</v>
      </c>
      <c r="C30" t="s">
        <v>29</v>
      </c>
      <c r="D30" t="s">
        <v>18</v>
      </c>
      <c r="E30" t="s">
        <v>19</v>
      </c>
      <c r="F30">
        <v>2</v>
      </c>
      <c r="G30">
        <v>537.55999999999995</v>
      </c>
      <c r="H30">
        <v>1075.1199999999999</v>
      </c>
      <c r="I30" t="s">
        <v>47</v>
      </c>
      <c r="J30">
        <f xml:space="preserve"> Sales_Data[[#This Row],[Quantity]] * Sales_Data[[#This Row],[Price]]</f>
        <v>1075.1199999999999</v>
      </c>
      <c r="K30" t="str">
        <f>TEXT(Sales_Data[[#This Row],[Order Date]],"MMM")</f>
        <v>Jan</v>
      </c>
      <c r="L30">
        <f>YEAR(Sales_Data[[#This Row],[Order Date]])</f>
        <v>2023</v>
      </c>
    </row>
    <row r="31" spans="1:12">
      <c r="A31" t="s">
        <v>108</v>
      </c>
      <c r="B31" s="1" t="s">
        <v>109</v>
      </c>
      <c r="C31" t="s">
        <v>58</v>
      </c>
      <c r="D31" t="s">
        <v>110</v>
      </c>
      <c r="E31" t="s">
        <v>52</v>
      </c>
      <c r="F31">
        <v>4</v>
      </c>
      <c r="G31">
        <v>975.51</v>
      </c>
      <c r="H31">
        <v>3902.04</v>
      </c>
      <c r="I31" t="s">
        <v>14</v>
      </c>
      <c r="J31">
        <f xml:space="preserve"> Sales_Data[[#This Row],[Quantity]] * Sales_Data[[#This Row],[Price]]</f>
        <v>3902.04</v>
      </c>
      <c r="K31" t="str">
        <f>TEXT(Sales_Data[[#This Row],[Order Date]],"MMM")</f>
        <v>Jan</v>
      </c>
      <c r="L31">
        <f>YEAR(Sales_Data[[#This Row],[Order Date]])</f>
        <v>2023</v>
      </c>
    </row>
    <row r="32" spans="1:12">
      <c r="A32" t="s">
        <v>111</v>
      </c>
      <c r="B32" s="1" t="s">
        <v>112</v>
      </c>
      <c r="C32" t="s">
        <v>113</v>
      </c>
      <c r="D32" t="s">
        <v>51</v>
      </c>
      <c r="E32" t="s">
        <v>52</v>
      </c>
      <c r="F32">
        <v>2</v>
      </c>
      <c r="G32">
        <v>1860.38</v>
      </c>
      <c r="H32">
        <v>3720.76</v>
      </c>
      <c r="I32" t="s">
        <v>31</v>
      </c>
      <c r="J32">
        <f xml:space="preserve"> Sales_Data[[#This Row],[Quantity]] * Sales_Data[[#This Row],[Price]]</f>
        <v>3720.76</v>
      </c>
      <c r="K32" t="str">
        <f>TEXT(Sales_Data[[#This Row],[Order Date]],"MMM")</f>
        <v>Aug</v>
      </c>
      <c r="L32">
        <f>YEAR(Sales_Data[[#This Row],[Order Date]])</f>
        <v>2023</v>
      </c>
    </row>
    <row r="33" spans="1:12">
      <c r="A33" t="s">
        <v>114</v>
      </c>
      <c r="B33" s="1" t="s">
        <v>115</v>
      </c>
      <c r="C33" t="s">
        <v>26</v>
      </c>
      <c r="D33" t="s">
        <v>30</v>
      </c>
      <c r="E33" t="s">
        <v>19</v>
      </c>
      <c r="F33">
        <v>2</v>
      </c>
      <c r="G33">
        <v>1698.74</v>
      </c>
      <c r="H33">
        <v>3397.48</v>
      </c>
      <c r="I33" t="s">
        <v>14</v>
      </c>
      <c r="J33">
        <f xml:space="preserve"> Sales_Data[[#This Row],[Quantity]] * Sales_Data[[#This Row],[Price]]</f>
        <v>3397.48</v>
      </c>
      <c r="K33" t="str">
        <f>TEXT(Sales_Data[[#This Row],[Order Date]],"MMM")</f>
        <v>Mar</v>
      </c>
      <c r="L33">
        <f>YEAR(Sales_Data[[#This Row],[Order Date]])</f>
        <v>2023</v>
      </c>
    </row>
    <row r="34" spans="1:12">
      <c r="A34" t="s">
        <v>116</v>
      </c>
      <c r="B34" s="1" t="s">
        <v>117</v>
      </c>
      <c r="C34" t="s">
        <v>118</v>
      </c>
      <c r="D34" t="s">
        <v>35</v>
      </c>
      <c r="E34" t="s">
        <v>13</v>
      </c>
      <c r="F34">
        <v>3</v>
      </c>
      <c r="G34">
        <v>401.05</v>
      </c>
      <c r="H34">
        <v>1203.1500000000001</v>
      </c>
      <c r="I34" t="s">
        <v>23</v>
      </c>
      <c r="J34">
        <f xml:space="preserve"> Sales_Data[[#This Row],[Quantity]] * Sales_Data[[#This Row],[Price]]</f>
        <v>1203.1500000000001</v>
      </c>
      <c r="K34" t="str">
        <f>TEXT(Sales_Data[[#This Row],[Order Date]],"MMM")</f>
        <v>Feb</v>
      </c>
      <c r="L34">
        <f>YEAR(Sales_Data[[#This Row],[Order Date]])</f>
        <v>2023</v>
      </c>
    </row>
    <row r="35" spans="1:12">
      <c r="A35" t="s">
        <v>119</v>
      </c>
      <c r="B35" s="1" t="s">
        <v>120</v>
      </c>
      <c r="C35" t="s">
        <v>121</v>
      </c>
      <c r="D35" t="s">
        <v>79</v>
      </c>
      <c r="E35" t="s">
        <v>52</v>
      </c>
      <c r="F35">
        <v>4</v>
      </c>
      <c r="G35">
        <v>1235.73</v>
      </c>
      <c r="H35">
        <v>4942.92</v>
      </c>
      <c r="I35" t="s">
        <v>23</v>
      </c>
      <c r="J35">
        <f xml:space="preserve"> Sales_Data[[#This Row],[Quantity]] * Sales_Data[[#This Row],[Price]]</f>
        <v>4942.92</v>
      </c>
      <c r="K35" t="str">
        <f>TEXT(Sales_Data[[#This Row],[Order Date]],"MMM")</f>
        <v>Aug</v>
      </c>
      <c r="L35">
        <f>YEAR(Sales_Data[[#This Row],[Order Date]])</f>
        <v>2023</v>
      </c>
    </row>
    <row r="36" spans="1:12">
      <c r="A36" t="s">
        <v>122</v>
      </c>
      <c r="B36" s="1" t="s">
        <v>123</v>
      </c>
      <c r="C36" t="s">
        <v>124</v>
      </c>
      <c r="D36" t="s">
        <v>35</v>
      </c>
      <c r="E36" t="s">
        <v>13</v>
      </c>
      <c r="F36">
        <v>2</v>
      </c>
      <c r="G36">
        <v>1504.41</v>
      </c>
      <c r="H36">
        <v>3008.82</v>
      </c>
      <c r="I36" t="s">
        <v>14</v>
      </c>
      <c r="J36">
        <f xml:space="preserve"> Sales_Data[[#This Row],[Quantity]] * Sales_Data[[#This Row],[Price]]</f>
        <v>3008.82</v>
      </c>
      <c r="K36" t="str">
        <f>TEXT(Sales_Data[[#This Row],[Order Date]],"MMM")</f>
        <v>Nov</v>
      </c>
      <c r="L36">
        <f>YEAR(Sales_Data[[#This Row],[Order Date]])</f>
        <v>2023</v>
      </c>
    </row>
    <row r="37" spans="1:12">
      <c r="A37" t="s">
        <v>125</v>
      </c>
      <c r="B37" s="1" t="s">
        <v>126</v>
      </c>
      <c r="C37" t="s">
        <v>127</v>
      </c>
      <c r="D37" t="s">
        <v>110</v>
      </c>
      <c r="E37" t="s">
        <v>52</v>
      </c>
      <c r="F37">
        <v>5</v>
      </c>
      <c r="G37">
        <v>1767.06</v>
      </c>
      <c r="H37">
        <v>8835.2999999999993</v>
      </c>
      <c r="I37" t="s">
        <v>23</v>
      </c>
      <c r="J37">
        <f xml:space="preserve"> Sales_Data[[#This Row],[Quantity]] * Sales_Data[[#This Row],[Price]]</f>
        <v>8835.2999999999993</v>
      </c>
      <c r="K37" t="str">
        <f>TEXT(Sales_Data[[#This Row],[Order Date]],"MMM")</f>
        <v>Apr</v>
      </c>
      <c r="L37">
        <f>YEAR(Sales_Data[[#This Row],[Order Date]])</f>
        <v>2023</v>
      </c>
    </row>
    <row r="38" spans="1:12">
      <c r="A38" t="s">
        <v>128</v>
      </c>
      <c r="B38" s="1" t="s">
        <v>129</v>
      </c>
      <c r="C38" t="s">
        <v>130</v>
      </c>
      <c r="D38" t="s">
        <v>79</v>
      </c>
      <c r="E38" t="s">
        <v>52</v>
      </c>
      <c r="F38">
        <v>2</v>
      </c>
      <c r="G38">
        <v>1833.2</v>
      </c>
      <c r="H38">
        <v>3666.4</v>
      </c>
      <c r="I38" t="s">
        <v>31</v>
      </c>
      <c r="J38">
        <f xml:space="preserve"> Sales_Data[[#This Row],[Quantity]] * Sales_Data[[#This Row],[Price]]</f>
        <v>3666.4</v>
      </c>
      <c r="K38" t="str">
        <f>TEXT(Sales_Data[[#This Row],[Order Date]],"MMM")</f>
        <v>Oct</v>
      </c>
      <c r="L38">
        <f>YEAR(Sales_Data[[#This Row],[Order Date]])</f>
        <v>2023</v>
      </c>
    </row>
    <row r="39" spans="1:12">
      <c r="A39" t="s">
        <v>131</v>
      </c>
      <c r="B39" s="1" t="s">
        <v>132</v>
      </c>
      <c r="C39" t="s">
        <v>87</v>
      </c>
      <c r="D39" t="s">
        <v>79</v>
      </c>
      <c r="E39" t="s">
        <v>52</v>
      </c>
      <c r="F39">
        <v>4</v>
      </c>
      <c r="G39">
        <v>1539.84</v>
      </c>
      <c r="H39">
        <v>6159.36</v>
      </c>
      <c r="I39" t="s">
        <v>23</v>
      </c>
      <c r="J39">
        <f xml:space="preserve"> Sales_Data[[#This Row],[Quantity]] * Sales_Data[[#This Row],[Price]]</f>
        <v>6159.36</v>
      </c>
      <c r="K39" t="str">
        <f>TEXT(Sales_Data[[#This Row],[Order Date]],"MMM")</f>
        <v>Jan</v>
      </c>
      <c r="L39">
        <f>YEAR(Sales_Data[[#This Row],[Order Date]])</f>
        <v>2023</v>
      </c>
    </row>
    <row r="40" spans="1:12">
      <c r="A40" t="s">
        <v>133</v>
      </c>
      <c r="B40" s="1" t="s">
        <v>134</v>
      </c>
      <c r="C40" t="s">
        <v>135</v>
      </c>
      <c r="D40" t="s">
        <v>18</v>
      </c>
      <c r="E40" t="s">
        <v>19</v>
      </c>
      <c r="F40">
        <v>4</v>
      </c>
      <c r="G40">
        <v>928.66</v>
      </c>
      <c r="H40">
        <v>3714.64</v>
      </c>
      <c r="I40" t="s">
        <v>14</v>
      </c>
      <c r="J40">
        <f xml:space="preserve"> Sales_Data[[#This Row],[Quantity]] * Sales_Data[[#This Row],[Price]]</f>
        <v>3714.64</v>
      </c>
      <c r="K40" t="str">
        <f>TEXT(Sales_Data[[#This Row],[Order Date]],"MMM")</f>
        <v>Aug</v>
      </c>
      <c r="L40">
        <f>YEAR(Sales_Data[[#This Row],[Order Date]])</f>
        <v>2023</v>
      </c>
    </row>
    <row r="41" spans="1:12">
      <c r="A41" t="s">
        <v>136</v>
      </c>
      <c r="B41" s="1" t="s">
        <v>137</v>
      </c>
      <c r="C41" t="s">
        <v>22</v>
      </c>
      <c r="D41" t="s">
        <v>18</v>
      </c>
      <c r="E41" t="s">
        <v>19</v>
      </c>
      <c r="F41">
        <v>3</v>
      </c>
      <c r="G41">
        <v>1093.0899999999999</v>
      </c>
      <c r="H41">
        <v>3279.27</v>
      </c>
      <c r="I41" t="s">
        <v>31</v>
      </c>
      <c r="J41">
        <f xml:space="preserve"> Sales_Data[[#This Row],[Quantity]] * Sales_Data[[#This Row],[Price]]</f>
        <v>3279.2699999999995</v>
      </c>
      <c r="K41" t="str">
        <f>TEXT(Sales_Data[[#This Row],[Order Date]],"MMM")</f>
        <v>Jul</v>
      </c>
      <c r="L41">
        <f>YEAR(Sales_Data[[#This Row],[Order Date]])</f>
        <v>2023</v>
      </c>
    </row>
    <row r="42" spans="1:12">
      <c r="A42" t="s">
        <v>138</v>
      </c>
      <c r="B42" s="1" t="s">
        <v>139</v>
      </c>
      <c r="C42" t="s">
        <v>140</v>
      </c>
      <c r="D42" t="s">
        <v>51</v>
      </c>
      <c r="E42" t="s">
        <v>52</v>
      </c>
      <c r="F42">
        <v>1</v>
      </c>
      <c r="G42">
        <v>1185.8499999999999</v>
      </c>
      <c r="H42">
        <v>1185.8499999999999</v>
      </c>
      <c r="I42" t="s">
        <v>14</v>
      </c>
      <c r="J42">
        <f xml:space="preserve"> Sales_Data[[#This Row],[Quantity]] * Sales_Data[[#This Row],[Price]]</f>
        <v>1185.8499999999999</v>
      </c>
      <c r="K42" t="str">
        <f>TEXT(Sales_Data[[#This Row],[Order Date]],"MMM")</f>
        <v>Jan</v>
      </c>
      <c r="L42">
        <f>YEAR(Sales_Data[[#This Row],[Order Date]])</f>
        <v>2023</v>
      </c>
    </row>
    <row r="43" spans="1:12">
      <c r="A43" t="s">
        <v>141</v>
      </c>
      <c r="B43" s="1" t="s">
        <v>142</v>
      </c>
      <c r="C43" t="s">
        <v>143</v>
      </c>
      <c r="D43" t="s">
        <v>79</v>
      </c>
      <c r="E43" t="s">
        <v>52</v>
      </c>
      <c r="F43">
        <v>5</v>
      </c>
      <c r="G43">
        <v>679.82</v>
      </c>
      <c r="H43">
        <v>3399.1</v>
      </c>
      <c r="I43" t="s">
        <v>23</v>
      </c>
      <c r="J43">
        <f xml:space="preserve"> Sales_Data[[#This Row],[Quantity]] * Sales_Data[[#This Row],[Price]]</f>
        <v>3399.1000000000004</v>
      </c>
      <c r="K43" t="str">
        <f>TEXT(Sales_Data[[#This Row],[Order Date]],"MMM")</f>
        <v>May</v>
      </c>
      <c r="L43">
        <f>YEAR(Sales_Data[[#This Row],[Order Date]])</f>
        <v>2023</v>
      </c>
    </row>
    <row r="44" spans="1:12">
      <c r="A44" t="s">
        <v>144</v>
      </c>
      <c r="B44" s="1" t="s">
        <v>145</v>
      </c>
      <c r="C44" t="s">
        <v>146</v>
      </c>
      <c r="D44" t="s">
        <v>79</v>
      </c>
      <c r="E44" t="s">
        <v>52</v>
      </c>
      <c r="F44">
        <v>5</v>
      </c>
      <c r="G44">
        <v>1623.69</v>
      </c>
      <c r="H44">
        <v>8118.45</v>
      </c>
      <c r="I44" t="s">
        <v>31</v>
      </c>
      <c r="J44">
        <f xml:space="preserve"> Sales_Data[[#This Row],[Quantity]] * Sales_Data[[#This Row],[Price]]</f>
        <v>8118.4500000000007</v>
      </c>
      <c r="K44" t="str">
        <f>TEXT(Sales_Data[[#This Row],[Order Date]],"MMM")</f>
        <v>Nov</v>
      </c>
      <c r="L44">
        <f>YEAR(Sales_Data[[#This Row],[Order Date]])</f>
        <v>2023</v>
      </c>
    </row>
    <row r="45" spans="1:12">
      <c r="A45" t="s">
        <v>147</v>
      </c>
      <c r="B45" s="1" t="s">
        <v>148</v>
      </c>
      <c r="C45" t="s">
        <v>29</v>
      </c>
      <c r="D45" t="s">
        <v>12</v>
      </c>
      <c r="E45" t="s">
        <v>13</v>
      </c>
      <c r="F45">
        <v>4</v>
      </c>
      <c r="G45">
        <v>734.79</v>
      </c>
      <c r="H45">
        <v>2939.16</v>
      </c>
      <c r="I45" t="s">
        <v>14</v>
      </c>
      <c r="J45">
        <f xml:space="preserve"> Sales_Data[[#This Row],[Quantity]] * Sales_Data[[#This Row],[Price]]</f>
        <v>2939.16</v>
      </c>
      <c r="K45" t="str">
        <f>TEXT(Sales_Data[[#This Row],[Order Date]],"MMM")</f>
        <v>Jan</v>
      </c>
      <c r="L45">
        <f>YEAR(Sales_Data[[#This Row],[Order Date]])</f>
        <v>2023</v>
      </c>
    </row>
    <row r="46" spans="1:12">
      <c r="A46" t="s">
        <v>149</v>
      </c>
      <c r="B46" s="1" t="s">
        <v>150</v>
      </c>
      <c r="C46" t="s">
        <v>38</v>
      </c>
      <c r="D46" t="s">
        <v>18</v>
      </c>
      <c r="E46" t="s">
        <v>19</v>
      </c>
      <c r="F46">
        <v>3</v>
      </c>
      <c r="G46">
        <v>1952.14</v>
      </c>
      <c r="H46">
        <v>5856.42</v>
      </c>
      <c r="I46" t="s">
        <v>31</v>
      </c>
      <c r="J46">
        <f xml:space="preserve"> Sales_Data[[#This Row],[Quantity]] * Sales_Data[[#This Row],[Price]]</f>
        <v>5856.42</v>
      </c>
      <c r="K46" t="str">
        <f>TEXT(Sales_Data[[#This Row],[Order Date]],"MMM")</f>
        <v>Sept</v>
      </c>
      <c r="L46">
        <f>YEAR(Sales_Data[[#This Row],[Order Date]])</f>
        <v>2023</v>
      </c>
    </row>
    <row r="47" spans="1:12">
      <c r="A47" t="s">
        <v>151</v>
      </c>
      <c r="B47" s="1" t="s">
        <v>152</v>
      </c>
      <c r="C47" t="s">
        <v>153</v>
      </c>
      <c r="D47" t="s">
        <v>12</v>
      </c>
      <c r="E47" t="s">
        <v>13</v>
      </c>
      <c r="F47">
        <v>3</v>
      </c>
      <c r="G47">
        <v>519.64</v>
      </c>
      <c r="H47">
        <v>1558.92</v>
      </c>
      <c r="I47" t="s">
        <v>47</v>
      </c>
      <c r="J47">
        <f xml:space="preserve"> Sales_Data[[#This Row],[Quantity]] * Sales_Data[[#This Row],[Price]]</f>
        <v>1558.92</v>
      </c>
      <c r="K47" t="str">
        <f>TEXT(Sales_Data[[#This Row],[Order Date]],"MMM")</f>
        <v>Oct</v>
      </c>
      <c r="L47">
        <f>YEAR(Sales_Data[[#This Row],[Order Date]])</f>
        <v>2023</v>
      </c>
    </row>
    <row r="48" spans="1:12">
      <c r="A48" t="s">
        <v>154</v>
      </c>
      <c r="B48" s="1" t="s">
        <v>155</v>
      </c>
      <c r="C48" t="s">
        <v>156</v>
      </c>
      <c r="D48" t="s">
        <v>30</v>
      </c>
      <c r="E48" t="s">
        <v>19</v>
      </c>
      <c r="F48">
        <v>2</v>
      </c>
      <c r="G48">
        <v>1469.45</v>
      </c>
      <c r="H48">
        <v>2938.9</v>
      </c>
      <c r="I48" t="s">
        <v>23</v>
      </c>
      <c r="J48">
        <f xml:space="preserve"> Sales_Data[[#This Row],[Quantity]] * Sales_Data[[#This Row],[Price]]</f>
        <v>2938.9</v>
      </c>
      <c r="K48" t="str">
        <f>TEXT(Sales_Data[[#This Row],[Order Date]],"MMM")</f>
        <v>May</v>
      </c>
      <c r="L48">
        <f>YEAR(Sales_Data[[#This Row],[Order Date]])</f>
        <v>2023</v>
      </c>
    </row>
    <row r="49" spans="1:12">
      <c r="A49" t="s">
        <v>157</v>
      </c>
      <c r="B49" s="1" t="s">
        <v>158</v>
      </c>
      <c r="C49" t="s">
        <v>159</v>
      </c>
      <c r="D49" t="s">
        <v>79</v>
      </c>
      <c r="E49" t="s">
        <v>52</v>
      </c>
      <c r="F49">
        <v>3</v>
      </c>
      <c r="G49">
        <v>1397.92</v>
      </c>
      <c r="H49">
        <v>4193.76</v>
      </c>
      <c r="I49" t="s">
        <v>47</v>
      </c>
      <c r="J49">
        <f xml:space="preserve"> Sales_Data[[#This Row],[Quantity]] * Sales_Data[[#This Row],[Price]]</f>
        <v>4193.76</v>
      </c>
      <c r="K49" t="str">
        <f>TEXT(Sales_Data[[#This Row],[Order Date]],"MMM")</f>
        <v>May</v>
      </c>
      <c r="L49">
        <f>YEAR(Sales_Data[[#This Row],[Order Date]])</f>
        <v>2023</v>
      </c>
    </row>
    <row r="50" spans="1:12">
      <c r="A50" t="s">
        <v>160</v>
      </c>
      <c r="B50" s="1" t="s">
        <v>161</v>
      </c>
      <c r="C50" t="s">
        <v>93</v>
      </c>
      <c r="D50" t="s">
        <v>51</v>
      </c>
      <c r="E50" t="s">
        <v>52</v>
      </c>
      <c r="F50">
        <v>5</v>
      </c>
      <c r="G50">
        <v>1037.95</v>
      </c>
      <c r="H50">
        <v>5189.75</v>
      </c>
      <c r="I50" t="s">
        <v>31</v>
      </c>
      <c r="J50">
        <f xml:space="preserve"> Sales_Data[[#This Row],[Quantity]] * Sales_Data[[#This Row],[Price]]</f>
        <v>5189.75</v>
      </c>
      <c r="K50" t="str">
        <f>TEXT(Sales_Data[[#This Row],[Order Date]],"MMM")</f>
        <v>May</v>
      </c>
      <c r="L50">
        <f>YEAR(Sales_Data[[#This Row],[Order Date]])</f>
        <v>2023</v>
      </c>
    </row>
    <row r="51" spans="1:12">
      <c r="A51" t="s">
        <v>162</v>
      </c>
      <c r="B51" s="1" t="s">
        <v>163</v>
      </c>
      <c r="C51" t="s">
        <v>43</v>
      </c>
      <c r="D51" t="s">
        <v>110</v>
      </c>
      <c r="E51" t="s">
        <v>52</v>
      </c>
      <c r="F51">
        <v>2</v>
      </c>
      <c r="G51">
        <v>369.08</v>
      </c>
      <c r="H51">
        <v>738.16</v>
      </c>
      <c r="I51" t="s">
        <v>14</v>
      </c>
      <c r="J51">
        <f xml:space="preserve"> Sales_Data[[#This Row],[Quantity]] * Sales_Data[[#This Row],[Price]]</f>
        <v>738.16</v>
      </c>
      <c r="K51" t="str">
        <f>TEXT(Sales_Data[[#This Row],[Order Date]],"MMM")</f>
        <v>Aug</v>
      </c>
      <c r="L51">
        <f>YEAR(Sales_Data[[#This Row],[Order Date]])</f>
        <v>2023</v>
      </c>
    </row>
    <row r="52" spans="1:12">
      <c r="A52" t="s">
        <v>164</v>
      </c>
      <c r="B52" s="1" t="s">
        <v>165</v>
      </c>
      <c r="C52" t="s">
        <v>166</v>
      </c>
      <c r="D52" t="s">
        <v>35</v>
      </c>
      <c r="E52" t="s">
        <v>13</v>
      </c>
      <c r="F52">
        <v>5</v>
      </c>
      <c r="G52">
        <v>771.14</v>
      </c>
      <c r="H52">
        <v>3855.7</v>
      </c>
      <c r="I52" t="s">
        <v>14</v>
      </c>
      <c r="J52">
        <f xml:space="preserve"> Sales_Data[[#This Row],[Quantity]] * Sales_Data[[#This Row],[Price]]</f>
        <v>3855.7</v>
      </c>
      <c r="K52" t="str">
        <f>TEXT(Sales_Data[[#This Row],[Order Date]],"MMM")</f>
        <v>Dec</v>
      </c>
      <c r="L52">
        <f>YEAR(Sales_Data[[#This Row],[Order Date]])</f>
        <v>2023</v>
      </c>
    </row>
    <row r="53" spans="1:12">
      <c r="A53" t="s">
        <v>167</v>
      </c>
      <c r="B53" s="1" t="s">
        <v>168</v>
      </c>
      <c r="C53" t="s">
        <v>169</v>
      </c>
      <c r="D53" t="s">
        <v>39</v>
      </c>
      <c r="E53" t="s">
        <v>40</v>
      </c>
      <c r="F53">
        <v>5</v>
      </c>
      <c r="G53">
        <v>1007.94</v>
      </c>
      <c r="H53">
        <v>5039.7</v>
      </c>
      <c r="I53" t="s">
        <v>31</v>
      </c>
      <c r="J53">
        <f xml:space="preserve"> Sales_Data[[#This Row],[Quantity]] * Sales_Data[[#This Row],[Price]]</f>
        <v>5039.7000000000007</v>
      </c>
      <c r="K53" t="str">
        <f>TEXT(Sales_Data[[#This Row],[Order Date]],"MMM")</f>
        <v>Nov</v>
      </c>
      <c r="L53">
        <f>YEAR(Sales_Data[[#This Row],[Order Date]])</f>
        <v>2023</v>
      </c>
    </row>
    <row r="54" spans="1:12">
      <c r="A54" t="s">
        <v>170</v>
      </c>
      <c r="B54" s="1" t="s">
        <v>171</v>
      </c>
      <c r="C54" t="s">
        <v>172</v>
      </c>
      <c r="D54" t="s">
        <v>59</v>
      </c>
      <c r="E54" t="s">
        <v>40</v>
      </c>
      <c r="F54">
        <v>4</v>
      </c>
      <c r="G54">
        <v>1050.98</v>
      </c>
      <c r="H54">
        <v>4203.92</v>
      </c>
      <c r="I54" t="s">
        <v>31</v>
      </c>
      <c r="J54">
        <f xml:space="preserve"> Sales_Data[[#This Row],[Quantity]] * Sales_Data[[#This Row],[Price]]</f>
        <v>4203.92</v>
      </c>
      <c r="K54" t="str">
        <f>TEXT(Sales_Data[[#This Row],[Order Date]],"MMM")</f>
        <v>May</v>
      </c>
      <c r="L54">
        <f>YEAR(Sales_Data[[#This Row],[Order Date]])</f>
        <v>2023</v>
      </c>
    </row>
    <row r="55" spans="1:12">
      <c r="A55" t="s">
        <v>173</v>
      </c>
      <c r="B55" s="1" t="s">
        <v>174</v>
      </c>
      <c r="C55" t="s">
        <v>82</v>
      </c>
      <c r="D55" t="s">
        <v>110</v>
      </c>
      <c r="E55" t="s">
        <v>52</v>
      </c>
      <c r="F55">
        <v>2</v>
      </c>
      <c r="G55">
        <v>1023.42</v>
      </c>
      <c r="H55">
        <v>2046.84</v>
      </c>
      <c r="I55" t="s">
        <v>14</v>
      </c>
      <c r="J55">
        <f xml:space="preserve"> Sales_Data[[#This Row],[Quantity]] * Sales_Data[[#This Row],[Price]]</f>
        <v>2046.84</v>
      </c>
      <c r="K55" t="str">
        <f>TEXT(Sales_Data[[#This Row],[Order Date]],"MMM")</f>
        <v>Jun</v>
      </c>
      <c r="L55">
        <f>YEAR(Sales_Data[[#This Row],[Order Date]])</f>
        <v>2023</v>
      </c>
    </row>
    <row r="56" spans="1:12">
      <c r="A56" t="s">
        <v>175</v>
      </c>
      <c r="B56" s="1" t="s">
        <v>176</v>
      </c>
      <c r="C56" t="s">
        <v>177</v>
      </c>
      <c r="D56" t="s">
        <v>35</v>
      </c>
      <c r="E56" t="s">
        <v>13</v>
      </c>
      <c r="F56">
        <v>3</v>
      </c>
      <c r="G56">
        <v>1831.84</v>
      </c>
      <c r="H56">
        <v>5495.52</v>
      </c>
      <c r="I56" t="s">
        <v>31</v>
      </c>
      <c r="J56">
        <f xml:space="preserve"> Sales_Data[[#This Row],[Quantity]] * Sales_Data[[#This Row],[Price]]</f>
        <v>5495.5199999999995</v>
      </c>
      <c r="K56" t="str">
        <f>TEXT(Sales_Data[[#This Row],[Order Date]],"MMM")</f>
        <v>Jun</v>
      </c>
      <c r="L56">
        <f>YEAR(Sales_Data[[#This Row],[Order Date]])</f>
        <v>2023</v>
      </c>
    </row>
    <row r="57" spans="1:12">
      <c r="A57" t="s">
        <v>178</v>
      </c>
      <c r="B57" s="1" t="s">
        <v>179</v>
      </c>
      <c r="C57" t="s">
        <v>180</v>
      </c>
      <c r="D57" t="s">
        <v>39</v>
      </c>
      <c r="E57" t="s">
        <v>40</v>
      </c>
      <c r="F57">
        <v>2</v>
      </c>
      <c r="G57">
        <v>1789.76</v>
      </c>
      <c r="H57">
        <v>3579.52</v>
      </c>
      <c r="I57" t="s">
        <v>47</v>
      </c>
      <c r="J57">
        <f xml:space="preserve"> Sales_Data[[#This Row],[Quantity]] * Sales_Data[[#This Row],[Price]]</f>
        <v>3579.52</v>
      </c>
      <c r="K57" t="str">
        <f>TEXT(Sales_Data[[#This Row],[Order Date]],"MMM")</f>
        <v>Dec</v>
      </c>
      <c r="L57">
        <f>YEAR(Sales_Data[[#This Row],[Order Date]])</f>
        <v>2023</v>
      </c>
    </row>
    <row r="58" spans="1:12">
      <c r="A58" t="s">
        <v>181</v>
      </c>
      <c r="B58" s="1" t="s">
        <v>182</v>
      </c>
      <c r="C58" t="s">
        <v>183</v>
      </c>
      <c r="D58" t="s">
        <v>12</v>
      </c>
      <c r="E58" t="s">
        <v>13</v>
      </c>
      <c r="F58">
        <v>4</v>
      </c>
      <c r="G58">
        <v>1335.21</v>
      </c>
      <c r="H58">
        <v>5340.84</v>
      </c>
      <c r="I58" t="s">
        <v>31</v>
      </c>
      <c r="J58">
        <f xml:space="preserve"> Sales_Data[[#This Row],[Quantity]] * Sales_Data[[#This Row],[Price]]</f>
        <v>5340.84</v>
      </c>
      <c r="K58" t="str">
        <f>TEXT(Sales_Data[[#This Row],[Order Date]],"MMM")</f>
        <v>Mar</v>
      </c>
      <c r="L58">
        <f>YEAR(Sales_Data[[#This Row],[Order Date]])</f>
        <v>2023</v>
      </c>
    </row>
    <row r="59" spans="1:12">
      <c r="A59" t="s">
        <v>184</v>
      </c>
      <c r="B59" s="1" t="s">
        <v>185</v>
      </c>
      <c r="C59" t="s">
        <v>186</v>
      </c>
      <c r="D59" t="s">
        <v>35</v>
      </c>
      <c r="E59" t="s">
        <v>13</v>
      </c>
      <c r="F59">
        <v>1</v>
      </c>
      <c r="G59">
        <v>561.21</v>
      </c>
      <c r="H59">
        <v>561.21</v>
      </c>
      <c r="I59" t="s">
        <v>23</v>
      </c>
      <c r="J59">
        <f xml:space="preserve"> Sales_Data[[#This Row],[Quantity]] * Sales_Data[[#This Row],[Price]]</f>
        <v>561.21</v>
      </c>
      <c r="K59" t="str">
        <f>TEXT(Sales_Data[[#This Row],[Order Date]],"MMM")</f>
        <v>Jul</v>
      </c>
      <c r="L59">
        <f>YEAR(Sales_Data[[#This Row],[Order Date]])</f>
        <v>2023</v>
      </c>
    </row>
    <row r="60" spans="1:12">
      <c r="A60" t="s">
        <v>187</v>
      </c>
      <c r="B60" s="1" t="s">
        <v>188</v>
      </c>
      <c r="C60" t="s">
        <v>189</v>
      </c>
      <c r="D60" t="s">
        <v>110</v>
      </c>
      <c r="E60" t="s">
        <v>52</v>
      </c>
      <c r="F60">
        <v>5</v>
      </c>
      <c r="G60">
        <v>424.32</v>
      </c>
      <c r="H60">
        <v>2121.6</v>
      </c>
      <c r="I60" t="s">
        <v>31</v>
      </c>
      <c r="J60">
        <f xml:space="preserve"> Sales_Data[[#This Row],[Quantity]] * Sales_Data[[#This Row],[Price]]</f>
        <v>2121.6</v>
      </c>
      <c r="K60" t="str">
        <f>TEXT(Sales_Data[[#This Row],[Order Date]],"MMM")</f>
        <v>Sept</v>
      </c>
      <c r="L60">
        <f>YEAR(Sales_Data[[#This Row],[Order Date]])</f>
        <v>2023</v>
      </c>
    </row>
    <row r="61" spans="1:12">
      <c r="A61" t="s">
        <v>190</v>
      </c>
      <c r="B61" s="1" t="s">
        <v>191</v>
      </c>
      <c r="C61" t="s">
        <v>192</v>
      </c>
      <c r="D61" t="s">
        <v>35</v>
      </c>
      <c r="E61" t="s">
        <v>13</v>
      </c>
      <c r="F61">
        <v>4</v>
      </c>
      <c r="G61">
        <v>989.82</v>
      </c>
      <c r="H61">
        <v>3959.28</v>
      </c>
      <c r="I61" t="s">
        <v>31</v>
      </c>
      <c r="J61">
        <f xml:space="preserve"> Sales_Data[[#This Row],[Quantity]] * Sales_Data[[#This Row],[Price]]</f>
        <v>3959.28</v>
      </c>
      <c r="K61" t="str">
        <f>TEXT(Sales_Data[[#This Row],[Order Date]],"MMM")</f>
        <v>May</v>
      </c>
      <c r="L61">
        <f>YEAR(Sales_Data[[#This Row],[Order Date]])</f>
        <v>2023</v>
      </c>
    </row>
    <row r="62" spans="1:12">
      <c r="A62" t="s">
        <v>193</v>
      </c>
      <c r="B62" s="1" t="s">
        <v>194</v>
      </c>
      <c r="C62" t="s">
        <v>93</v>
      </c>
      <c r="D62" t="s">
        <v>51</v>
      </c>
      <c r="E62" t="s">
        <v>52</v>
      </c>
      <c r="F62">
        <v>4</v>
      </c>
      <c r="G62">
        <v>1235.22</v>
      </c>
      <c r="H62">
        <v>4940.88</v>
      </c>
      <c r="I62" t="s">
        <v>14</v>
      </c>
      <c r="J62">
        <f xml:space="preserve"> Sales_Data[[#This Row],[Quantity]] * Sales_Data[[#This Row],[Price]]</f>
        <v>4940.88</v>
      </c>
      <c r="K62" t="str">
        <f>TEXT(Sales_Data[[#This Row],[Order Date]],"MMM")</f>
        <v>Aug</v>
      </c>
      <c r="L62">
        <f>YEAR(Sales_Data[[#This Row],[Order Date]])</f>
        <v>2023</v>
      </c>
    </row>
    <row r="63" spans="1:12">
      <c r="A63" t="s">
        <v>195</v>
      </c>
      <c r="B63" s="1" t="s">
        <v>196</v>
      </c>
      <c r="C63" t="s">
        <v>180</v>
      </c>
      <c r="D63" t="s">
        <v>51</v>
      </c>
      <c r="E63" t="s">
        <v>52</v>
      </c>
      <c r="F63">
        <v>2</v>
      </c>
      <c r="G63">
        <v>1217.5899999999999</v>
      </c>
      <c r="H63">
        <v>2435.1799999999998</v>
      </c>
      <c r="I63" t="s">
        <v>23</v>
      </c>
      <c r="J63">
        <f xml:space="preserve"> Sales_Data[[#This Row],[Quantity]] * Sales_Data[[#This Row],[Price]]</f>
        <v>2435.1799999999998</v>
      </c>
      <c r="K63" t="str">
        <f>TEXT(Sales_Data[[#This Row],[Order Date]],"MMM")</f>
        <v>Apr</v>
      </c>
      <c r="L63">
        <f>YEAR(Sales_Data[[#This Row],[Order Date]])</f>
        <v>2023</v>
      </c>
    </row>
    <row r="64" spans="1:12">
      <c r="A64" t="s">
        <v>197</v>
      </c>
      <c r="B64" s="1" t="s">
        <v>198</v>
      </c>
      <c r="C64" t="s">
        <v>50</v>
      </c>
      <c r="D64" t="s">
        <v>12</v>
      </c>
      <c r="E64" t="s">
        <v>13</v>
      </c>
      <c r="F64">
        <v>2</v>
      </c>
      <c r="G64">
        <v>317.88</v>
      </c>
      <c r="H64">
        <v>635.76</v>
      </c>
      <c r="I64" t="s">
        <v>47</v>
      </c>
      <c r="J64">
        <f xml:space="preserve"> Sales_Data[[#This Row],[Quantity]] * Sales_Data[[#This Row],[Price]]</f>
        <v>635.76</v>
      </c>
      <c r="K64" t="str">
        <f>TEXT(Sales_Data[[#This Row],[Order Date]],"MMM")</f>
        <v>Mar</v>
      </c>
      <c r="L64">
        <f>YEAR(Sales_Data[[#This Row],[Order Date]])</f>
        <v>2023</v>
      </c>
    </row>
    <row r="65" spans="1:12">
      <c r="A65" t="s">
        <v>199</v>
      </c>
      <c r="B65" s="1" t="s">
        <v>200</v>
      </c>
      <c r="C65" t="s">
        <v>201</v>
      </c>
      <c r="D65" t="s">
        <v>59</v>
      </c>
      <c r="E65" t="s">
        <v>40</v>
      </c>
      <c r="F65">
        <v>1</v>
      </c>
      <c r="G65">
        <v>441.97</v>
      </c>
      <c r="H65">
        <v>441.97</v>
      </c>
      <c r="I65" t="s">
        <v>31</v>
      </c>
      <c r="J65">
        <f xml:space="preserve"> Sales_Data[[#This Row],[Quantity]] * Sales_Data[[#This Row],[Price]]</f>
        <v>441.97</v>
      </c>
      <c r="K65" t="str">
        <f>TEXT(Sales_Data[[#This Row],[Order Date]],"MMM")</f>
        <v>Sept</v>
      </c>
      <c r="L65">
        <f>YEAR(Sales_Data[[#This Row],[Order Date]])</f>
        <v>2023</v>
      </c>
    </row>
    <row r="66" spans="1:12">
      <c r="A66" t="s">
        <v>202</v>
      </c>
      <c r="B66" s="1" t="s">
        <v>161</v>
      </c>
      <c r="C66" t="s">
        <v>203</v>
      </c>
      <c r="D66" t="s">
        <v>79</v>
      </c>
      <c r="E66" t="s">
        <v>52</v>
      </c>
      <c r="F66">
        <v>1</v>
      </c>
      <c r="G66">
        <v>1750.78</v>
      </c>
      <c r="H66">
        <v>1750.78</v>
      </c>
      <c r="I66" t="s">
        <v>14</v>
      </c>
      <c r="J66">
        <f xml:space="preserve"> Sales_Data[[#This Row],[Quantity]] * Sales_Data[[#This Row],[Price]]</f>
        <v>1750.78</v>
      </c>
      <c r="K66" t="str">
        <f>TEXT(Sales_Data[[#This Row],[Order Date]],"MMM")</f>
        <v>May</v>
      </c>
      <c r="L66">
        <f>YEAR(Sales_Data[[#This Row],[Order Date]])</f>
        <v>2023</v>
      </c>
    </row>
    <row r="67" spans="1:12">
      <c r="A67" t="s">
        <v>204</v>
      </c>
      <c r="B67" s="1" t="s">
        <v>205</v>
      </c>
      <c r="C67" t="s">
        <v>135</v>
      </c>
      <c r="D67" t="s">
        <v>12</v>
      </c>
      <c r="E67" t="s">
        <v>13</v>
      </c>
      <c r="F67">
        <v>5</v>
      </c>
      <c r="G67">
        <v>638.4</v>
      </c>
      <c r="H67">
        <v>3192</v>
      </c>
      <c r="I67" t="s">
        <v>23</v>
      </c>
      <c r="J67">
        <f xml:space="preserve"> Sales_Data[[#This Row],[Quantity]] * Sales_Data[[#This Row],[Price]]</f>
        <v>3192</v>
      </c>
      <c r="K67" t="str">
        <f>TEXT(Sales_Data[[#This Row],[Order Date]],"MMM")</f>
        <v>Apr</v>
      </c>
      <c r="L67">
        <f>YEAR(Sales_Data[[#This Row],[Order Date]])</f>
        <v>2023</v>
      </c>
    </row>
    <row r="68" spans="1:12">
      <c r="A68" t="s">
        <v>206</v>
      </c>
      <c r="B68" s="1" t="s">
        <v>207</v>
      </c>
      <c r="C68" t="s">
        <v>208</v>
      </c>
      <c r="D68" t="s">
        <v>39</v>
      </c>
      <c r="E68" t="s">
        <v>40</v>
      </c>
      <c r="F68">
        <v>3</v>
      </c>
      <c r="G68">
        <v>62.71</v>
      </c>
      <c r="H68">
        <v>188.13</v>
      </c>
      <c r="I68" t="s">
        <v>47</v>
      </c>
      <c r="J68">
        <f xml:space="preserve"> Sales_Data[[#This Row],[Quantity]] * Sales_Data[[#This Row],[Price]]</f>
        <v>188.13</v>
      </c>
      <c r="K68" t="str">
        <f>TEXT(Sales_Data[[#This Row],[Order Date]],"MMM")</f>
        <v>Jul</v>
      </c>
      <c r="L68">
        <f>YEAR(Sales_Data[[#This Row],[Order Date]])</f>
        <v>2023</v>
      </c>
    </row>
    <row r="69" spans="1:12">
      <c r="A69" t="s">
        <v>209</v>
      </c>
      <c r="B69" s="1" t="s">
        <v>25</v>
      </c>
      <c r="C69" t="s">
        <v>210</v>
      </c>
      <c r="D69" t="s">
        <v>35</v>
      </c>
      <c r="E69" t="s">
        <v>13</v>
      </c>
      <c r="F69">
        <v>3</v>
      </c>
      <c r="G69">
        <v>1581.31</v>
      </c>
      <c r="H69">
        <v>4743.93</v>
      </c>
      <c r="I69" t="s">
        <v>23</v>
      </c>
      <c r="J69">
        <f xml:space="preserve"> Sales_Data[[#This Row],[Quantity]] * Sales_Data[[#This Row],[Price]]</f>
        <v>4743.93</v>
      </c>
      <c r="K69" t="str">
        <f>TEXT(Sales_Data[[#This Row],[Order Date]],"MMM")</f>
        <v>Jul</v>
      </c>
      <c r="L69">
        <f>YEAR(Sales_Data[[#This Row],[Order Date]])</f>
        <v>2023</v>
      </c>
    </row>
    <row r="70" spans="1:12">
      <c r="A70" t="s">
        <v>211</v>
      </c>
      <c r="B70" s="1" t="s">
        <v>212</v>
      </c>
      <c r="C70" t="s">
        <v>213</v>
      </c>
      <c r="D70" t="s">
        <v>18</v>
      </c>
      <c r="E70" t="s">
        <v>19</v>
      </c>
      <c r="F70">
        <v>5</v>
      </c>
      <c r="G70">
        <v>1353.37</v>
      </c>
      <c r="H70">
        <v>6766.85</v>
      </c>
      <c r="I70" t="s">
        <v>14</v>
      </c>
      <c r="J70">
        <f xml:space="preserve"> Sales_Data[[#This Row],[Quantity]] * Sales_Data[[#This Row],[Price]]</f>
        <v>6766.8499999999995</v>
      </c>
      <c r="K70" t="str">
        <f>TEXT(Sales_Data[[#This Row],[Order Date]],"MMM")</f>
        <v>May</v>
      </c>
      <c r="L70">
        <f>YEAR(Sales_Data[[#This Row],[Order Date]])</f>
        <v>2023</v>
      </c>
    </row>
    <row r="71" spans="1:12">
      <c r="A71" t="s">
        <v>214</v>
      </c>
      <c r="B71" s="1" t="s">
        <v>81</v>
      </c>
      <c r="C71" t="s">
        <v>113</v>
      </c>
      <c r="D71" t="s">
        <v>12</v>
      </c>
      <c r="E71" t="s">
        <v>13</v>
      </c>
      <c r="F71">
        <v>3</v>
      </c>
      <c r="G71">
        <v>1018</v>
      </c>
      <c r="H71">
        <v>3054</v>
      </c>
      <c r="I71" t="s">
        <v>31</v>
      </c>
      <c r="J71">
        <f xml:space="preserve"> Sales_Data[[#This Row],[Quantity]] * Sales_Data[[#This Row],[Price]]</f>
        <v>3054</v>
      </c>
      <c r="K71" t="str">
        <f>TEXT(Sales_Data[[#This Row],[Order Date]],"MMM")</f>
        <v>Jan</v>
      </c>
      <c r="L71">
        <f>YEAR(Sales_Data[[#This Row],[Order Date]])</f>
        <v>2023</v>
      </c>
    </row>
    <row r="72" spans="1:12">
      <c r="A72" t="s">
        <v>215</v>
      </c>
      <c r="B72" s="1" t="s">
        <v>216</v>
      </c>
      <c r="C72" t="s">
        <v>105</v>
      </c>
      <c r="D72" t="s">
        <v>59</v>
      </c>
      <c r="E72" t="s">
        <v>40</v>
      </c>
      <c r="F72">
        <v>2</v>
      </c>
      <c r="G72">
        <v>1979.38</v>
      </c>
      <c r="H72">
        <v>3958.76</v>
      </c>
      <c r="I72" t="s">
        <v>31</v>
      </c>
      <c r="J72">
        <f xml:space="preserve"> Sales_Data[[#This Row],[Quantity]] * Sales_Data[[#This Row],[Price]]</f>
        <v>3958.76</v>
      </c>
      <c r="K72" t="str">
        <f>TEXT(Sales_Data[[#This Row],[Order Date]],"MMM")</f>
        <v>Oct</v>
      </c>
      <c r="L72">
        <f>YEAR(Sales_Data[[#This Row],[Order Date]])</f>
        <v>2023</v>
      </c>
    </row>
    <row r="73" spans="1:12">
      <c r="A73" t="s">
        <v>217</v>
      </c>
      <c r="B73" s="1" t="s">
        <v>218</v>
      </c>
      <c r="C73" t="s">
        <v>219</v>
      </c>
      <c r="D73" t="s">
        <v>18</v>
      </c>
      <c r="E73" t="s">
        <v>19</v>
      </c>
      <c r="F73">
        <v>2</v>
      </c>
      <c r="G73">
        <v>687.42</v>
      </c>
      <c r="H73">
        <v>1374.84</v>
      </c>
      <c r="I73" t="s">
        <v>47</v>
      </c>
      <c r="J73">
        <f xml:space="preserve"> Sales_Data[[#This Row],[Quantity]] * Sales_Data[[#This Row],[Price]]</f>
        <v>1374.84</v>
      </c>
      <c r="K73" t="str">
        <f>TEXT(Sales_Data[[#This Row],[Order Date]],"MMM")</f>
        <v>May</v>
      </c>
      <c r="L73">
        <f>YEAR(Sales_Data[[#This Row],[Order Date]])</f>
        <v>2023</v>
      </c>
    </row>
    <row r="74" spans="1:12">
      <c r="A74" t="s">
        <v>220</v>
      </c>
      <c r="B74" s="1" t="s">
        <v>221</v>
      </c>
      <c r="C74" t="s">
        <v>135</v>
      </c>
      <c r="D74" t="s">
        <v>35</v>
      </c>
      <c r="E74" t="s">
        <v>13</v>
      </c>
      <c r="F74">
        <v>3</v>
      </c>
      <c r="G74">
        <v>1636.75</v>
      </c>
      <c r="H74">
        <v>4910.25</v>
      </c>
      <c r="I74" t="s">
        <v>31</v>
      </c>
      <c r="J74">
        <f xml:space="preserve"> Sales_Data[[#This Row],[Quantity]] * Sales_Data[[#This Row],[Price]]</f>
        <v>4910.25</v>
      </c>
      <c r="K74" t="str">
        <f>TEXT(Sales_Data[[#This Row],[Order Date]],"MMM")</f>
        <v>Nov</v>
      </c>
      <c r="L74">
        <f>YEAR(Sales_Data[[#This Row],[Order Date]])</f>
        <v>2023</v>
      </c>
    </row>
    <row r="75" spans="1:12">
      <c r="A75" t="s">
        <v>222</v>
      </c>
      <c r="B75" s="1" t="s">
        <v>223</v>
      </c>
      <c r="C75" t="s">
        <v>213</v>
      </c>
      <c r="D75" t="s">
        <v>79</v>
      </c>
      <c r="E75" t="s">
        <v>52</v>
      </c>
      <c r="F75">
        <v>1</v>
      </c>
      <c r="G75">
        <v>375.59</v>
      </c>
      <c r="H75">
        <v>375.59</v>
      </c>
      <c r="I75" t="s">
        <v>31</v>
      </c>
      <c r="J75">
        <f xml:space="preserve"> Sales_Data[[#This Row],[Quantity]] * Sales_Data[[#This Row],[Price]]</f>
        <v>375.59</v>
      </c>
      <c r="K75" t="str">
        <f>TEXT(Sales_Data[[#This Row],[Order Date]],"MMM")</f>
        <v>Dec</v>
      </c>
      <c r="L75">
        <f>YEAR(Sales_Data[[#This Row],[Order Date]])</f>
        <v>2023</v>
      </c>
    </row>
    <row r="76" spans="1:12">
      <c r="A76" t="s">
        <v>224</v>
      </c>
      <c r="B76" s="1" t="s">
        <v>185</v>
      </c>
      <c r="C76" t="s">
        <v>156</v>
      </c>
      <c r="D76" t="s">
        <v>51</v>
      </c>
      <c r="E76" t="s">
        <v>52</v>
      </c>
      <c r="F76">
        <v>3</v>
      </c>
      <c r="G76">
        <v>1440.84</v>
      </c>
      <c r="H76">
        <v>4322.5200000000004</v>
      </c>
      <c r="I76" t="s">
        <v>47</v>
      </c>
      <c r="J76">
        <f xml:space="preserve"> Sales_Data[[#This Row],[Quantity]] * Sales_Data[[#This Row],[Price]]</f>
        <v>4322.5199999999995</v>
      </c>
      <c r="K76" t="str">
        <f>TEXT(Sales_Data[[#This Row],[Order Date]],"MMM")</f>
        <v>Jul</v>
      </c>
      <c r="L76">
        <f>YEAR(Sales_Data[[#This Row],[Order Date]])</f>
        <v>2023</v>
      </c>
    </row>
    <row r="77" spans="1:12">
      <c r="A77" t="s">
        <v>225</v>
      </c>
      <c r="B77" s="1" t="s">
        <v>174</v>
      </c>
      <c r="C77" t="s">
        <v>226</v>
      </c>
      <c r="D77" t="s">
        <v>30</v>
      </c>
      <c r="E77" t="s">
        <v>19</v>
      </c>
      <c r="F77">
        <v>4</v>
      </c>
      <c r="G77">
        <v>1529.43</v>
      </c>
      <c r="H77">
        <v>6117.72</v>
      </c>
      <c r="I77" t="s">
        <v>31</v>
      </c>
      <c r="J77">
        <f xml:space="preserve"> Sales_Data[[#This Row],[Quantity]] * Sales_Data[[#This Row],[Price]]</f>
        <v>6117.72</v>
      </c>
      <c r="K77" t="str">
        <f>TEXT(Sales_Data[[#This Row],[Order Date]],"MMM")</f>
        <v>Jun</v>
      </c>
      <c r="L77">
        <f>YEAR(Sales_Data[[#This Row],[Order Date]])</f>
        <v>2023</v>
      </c>
    </row>
    <row r="78" spans="1:12">
      <c r="A78" t="s">
        <v>227</v>
      </c>
      <c r="B78" s="1" t="s">
        <v>61</v>
      </c>
      <c r="C78" t="s">
        <v>228</v>
      </c>
      <c r="D78" t="s">
        <v>79</v>
      </c>
      <c r="E78" t="s">
        <v>52</v>
      </c>
      <c r="F78">
        <v>3</v>
      </c>
      <c r="G78">
        <v>1371.52</v>
      </c>
      <c r="H78">
        <v>4114.5600000000004</v>
      </c>
      <c r="I78" t="s">
        <v>47</v>
      </c>
      <c r="J78">
        <f xml:space="preserve"> Sales_Data[[#This Row],[Quantity]] * Sales_Data[[#This Row],[Price]]</f>
        <v>4114.5599999999995</v>
      </c>
      <c r="K78" t="str">
        <f>TEXT(Sales_Data[[#This Row],[Order Date]],"MMM")</f>
        <v>Jun</v>
      </c>
      <c r="L78">
        <f>YEAR(Sales_Data[[#This Row],[Order Date]])</f>
        <v>2023</v>
      </c>
    </row>
    <row r="79" spans="1:12">
      <c r="A79" t="s">
        <v>229</v>
      </c>
      <c r="B79" s="1" t="s">
        <v>230</v>
      </c>
      <c r="C79" t="s">
        <v>231</v>
      </c>
      <c r="D79" t="s">
        <v>79</v>
      </c>
      <c r="E79" t="s">
        <v>52</v>
      </c>
      <c r="F79">
        <v>3</v>
      </c>
      <c r="G79">
        <v>1771.66</v>
      </c>
      <c r="H79">
        <v>5314.98</v>
      </c>
      <c r="I79" t="s">
        <v>31</v>
      </c>
      <c r="J79">
        <f xml:space="preserve"> Sales_Data[[#This Row],[Quantity]] * Sales_Data[[#This Row],[Price]]</f>
        <v>5314.9800000000005</v>
      </c>
      <c r="K79" t="str">
        <f>TEXT(Sales_Data[[#This Row],[Order Date]],"MMM")</f>
        <v>Aug</v>
      </c>
      <c r="L79">
        <f>YEAR(Sales_Data[[#This Row],[Order Date]])</f>
        <v>2023</v>
      </c>
    </row>
    <row r="80" spans="1:12">
      <c r="A80" t="s">
        <v>232</v>
      </c>
      <c r="B80" s="1" t="s">
        <v>233</v>
      </c>
      <c r="C80" t="s">
        <v>105</v>
      </c>
      <c r="D80" t="s">
        <v>39</v>
      </c>
      <c r="E80" t="s">
        <v>40</v>
      </c>
      <c r="F80">
        <v>5</v>
      </c>
      <c r="G80">
        <v>947.03</v>
      </c>
      <c r="H80">
        <v>4735.1499999999996</v>
      </c>
      <c r="I80" t="s">
        <v>47</v>
      </c>
      <c r="J80">
        <f xml:space="preserve"> Sales_Data[[#This Row],[Quantity]] * Sales_Data[[#This Row],[Price]]</f>
        <v>4735.1499999999996</v>
      </c>
      <c r="K80" t="str">
        <f>TEXT(Sales_Data[[#This Row],[Order Date]],"MMM")</f>
        <v>Dec</v>
      </c>
      <c r="L80">
        <f>YEAR(Sales_Data[[#This Row],[Order Date]])</f>
        <v>2023</v>
      </c>
    </row>
    <row r="81" spans="1:12">
      <c r="A81" t="s">
        <v>234</v>
      </c>
      <c r="B81" s="1" t="s">
        <v>235</v>
      </c>
      <c r="C81" t="s">
        <v>183</v>
      </c>
      <c r="D81" t="s">
        <v>79</v>
      </c>
      <c r="E81" t="s">
        <v>52</v>
      </c>
      <c r="F81">
        <v>4</v>
      </c>
      <c r="G81">
        <v>971.46</v>
      </c>
      <c r="H81">
        <v>3885.84</v>
      </c>
      <c r="I81" t="s">
        <v>14</v>
      </c>
      <c r="J81">
        <f xml:space="preserve"> Sales_Data[[#This Row],[Quantity]] * Sales_Data[[#This Row],[Price]]</f>
        <v>3885.84</v>
      </c>
      <c r="K81" t="str">
        <f>TEXT(Sales_Data[[#This Row],[Order Date]],"MMM")</f>
        <v>Jun</v>
      </c>
      <c r="L81">
        <f>YEAR(Sales_Data[[#This Row],[Order Date]])</f>
        <v>2023</v>
      </c>
    </row>
    <row r="82" spans="1:12">
      <c r="A82" t="s">
        <v>236</v>
      </c>
      <c r="B82" s="1" t="s">
        <v>237</v>
      </c>
      <c r="C82" t="s">
        <v>238</v>
      </c>
      <c r="D82" t="s">
        <v>39</v>
      </c>
      <c r="E82" t="s">
        <v>40</v>
      </c>
      <c r="F82">
        <v>2</v>
      </c>
      <c r="G82">
        <v>1882.88</v>
      </c>
      <c r="H82">
        <v>3765.76</v>
      </c>
      <c r="I82" t="s">
        <v>14</v>
      </c>
      <c r="J82">
        <f xml:space="preserve"> Sales_Data[[#This Row],[Quantity]] * Sales_Data[[#This Row],[Price]]</f>
        <v>3765.76</v>
      </c>
      <c r="K82" t="str">
        <f>TEXT(Sales_Data[[#This Row],[Order Date]],"MMM")</f>
        <v>May</v>
      </c>
      <c r="L82">
        <f>YEAR(Sales_Data[[#This Row],[Order Date]])</f>
        <v>2023</v>
      </c>
    </row>
    <row r="83" spans="1:12">
      <c r="A83" t="s">
        <v>239</v>
      </c>
      <c r="B83" s="1" t="s">
        <v>240</v>
      </c>
      <c r="C83" t="s">
        <v>93</v>
      </c>
      <c r="D83" t="s">
        <v>79</v>
      </c>
      <c r="E83" t="s">
        <v>52</v>
      </c>
      <c r="F83">
        <v>5</v>
      </c>
      <c r="G83">
        <v>719.16</v>
      </c>
      <c r="H83">
        <v>3595.8</v>
      </c>
      <c r="I83" t="s">
        <v>14</v>
      </c>
      <c r="J83">
        <f xml:space="preserve"> Sales_Data[[#This Row],[Quantity]] * Sales_Data[[#This Row],[Price]]</f>
        <v>3595.7999999999997</v>
      </c>
      <c r="K83" t="str">
        <f>TEXT(Sales_Data[[#This Row],[Order Date]],"MMM")</f>
        <v>Mar</v>
      </c>
      <c r="L83">
        <f>YEAR(Sales_Data[[#This Row],[Order Date]])</f>
        <v>2023</v>
      </c>
    </row>
    <row r="84" spans="1:12">
      <c r="A84" t="s">
        <v>241</v>
      </c>
      <c r="B84" s="1" t="s">
        <v>89</v>
      </c>
      <c r="C84" t="s">
        <v>82</v>
      </c>
      <c r="D84" t="s">
        <v>59</v>
      </c>
      <c r="E84" t="s">
        <v>40</v>
      </c>
      <c r="F84">
        <v>3</v>
      </c>
      <c r="G84">
        <v>524.91999999999996</v>
      </c>
      <c r="H84">
        <v>1574.76</v>
      </c>
      <c r="I84" t="s">
        <v>14</v>
      </c>
      <c r="J84">
        <f xml:space="preserve"> Sales_Data[[#This Row],[Quantity]] * Sales_Data[[#This Row],[Price]]</f>
        <v>1574.7599999999998</v>
      </c>
      <c r="K84" t="str">
        <f>TEXT(Sales_Data[[#This Row],[Order Date]],"MMM")</f>
        <v>Apr</v>
      </c>
      <c r="L84">
        <f>YEAR(Sales_Data[[#This Row],[Order Date]])</f>
        <v>2023</v>
      </c>
    </row>
    <row r="85" spans="1:12">
      <c r="A85" t="s">
        <v>242</v>
      </c>
      <c r="B85" s="1" t="s">
        <v>155</v>
      </c>
      <c r="C85" t="s">
        <v>93</v>
      </c>
      <c r="D85" t="s">
        <v>18</v>
      </c>
      <c r="E85" t="s">
        <v>19</v>
      </c>
      <c r="F85">
        <v>2</v>
      </c>
      <c r="G85">
        <v>515.02</v>
      </c>
      <c r="H85">
        <v>1030.04</v>
      </c>
      <c r="I85" t="s">
        <v>31</v>
      </c>
      <c r="J85">
        <f xml:space="preserve"> Sales_Data[[#This Row],[Quantity]] * Sales_Data[[#This Row],[Price]]</f>
        <v>1030.04</v>
      </c>
      <c r="K85" t="str">
        <f>TEXT(Sales_Data[[#This Row],[Order Date]],"MMM")</f>
        <v>May</v>
      </c>
      <c r="L85">
        <f>YEAR(Sales_Data[[#This Row],[Order Date]])</f>
        <v>2023</v>
      </c>
    </row>
    <row r="86" spans="1:12">
      <c r="A86" t="s">
        <v>243</v>
      </c>
      <c r="B86" s="1" t="s">
        <v>75</v>
      </c>
      <c r="C86" t="s">
        <v>70</v>
      </c>
      <c r="D86" t="s">
        <v>79</v>
      </c>
      <c r="E86" t="s">
        <v>52</v>
      </c>
      <c r="F86">
        <v>5</v>
      </c>
      <c r="G86">
        <v>1892.95</v>
      </c>
      <c r="H86">
        <v>9464.75</v>
      </c>
      <c r="I86" t="s">
        <v>47</v>
      </c>
      <c r="J86">
        <f xml:space="preserve"> Sales_Data[[#This Row],[Quantity]] * Sales_Data[[#This Row],[Price]]</f>
        <v>9464.75</v>
      </c>
      <c r="K86" t="str">
        <f>TEXT(Sales_Data[[#This Row],[Order Date]],"MMM")</f>
        <v>Oct</v>
      </c>
      <c r="L86">
        <f>YEAR(Sales_Data[[#This Row],[Order Date]])</f>
        <v>2023</v>
      </c>
    </row>
    <row r="87" spans="1:12">
      <c r="A87" t="s">
        <v>244</v>
      </c>
      <c r="B87" s="1" t="s">
        <v>245</v>
      </c>
      <c r="C87" t="s">
        <v>246</v>
      </c>
      <c r="D87" t="s">
        <v>30</v>
      </c>
      <c r="E87" t="s">
        <v>19</v>
      </c>
      <c r="F87">
        <v>3</v>
      </c>
      <c r="G87">
        <v>661.53</v>
      </c>
      <c r="H87">
        <v>1984.59</v>
      </c>
      <c r="I87" t="s">
        <v>14</v>
      </c>
      <c r="J87">
        <f xml:space="preserve"> Sales_Data[[#This Row],[Quantity]] * Sales_Data[[#This Row],[Price]]</f>
        <v>1984.59</v>
      </c>
      <c r="K87" t="str">
        <f>TEXT(Sales_Data[[#This Row],[Order Date]],"MMM")</f>
        <v>Feb</v>
      </c>
      <c r="L87">
        <f>YEAR(Sales_Data[[#This Row],[Order Date]])</f>
        <v>2023</v>
      </c>
    </row>
    <row r="88" spans="1:12">
      <c r="A88" t="s">
        <v>247</v>
      </c>
      <c r="B88" s="1" t="s">
        <v>248</v>
      </c>
      <c r="C88" t="s">
        <v>249</v>
      </c>
      <c r="D88" t="s">
        <v>35</v>
      </c>
      <c r="E88" t="s">
        <v>13</v>
      </c>
      <c r="F88">
        <v>2</v>
      </c>
      <c r="G88">
        <v>1637.18</v>
      </c>
      <c r="H88">
        <v>3274.36</v>
      </c>
      <c r="I88" t="s">
        <v>47</v>
      </c>
      <c r="J88">
        <f xml:space="preserve"> Sales_Data[[#This Row],[Quantity]] * Sales_Data[[#This Row],[Price]]</f>
        <v>3274.36</v>
      </c>
      <c r="K88" t="str">
        <f>TEXT(Sales_Data[[#This Row],[Order Date]],"MMM")</f>
        <v>Mar</v>
      </c>
      <c r="L88">
        <f>YEAR(Sales_Data[[#This Row],[Order Date]])</f>
        <v>2023</v>
      </c>
    </row>
    <row r="89" spans="1:12">
      <c r="A89" t="s">
        <v>250</v>
      </c>
      <c r="B89" s="1" t="s">
        <v>251</v>
      </c>
      <c r="C89" t="s">
        <v>146</v>
      </c>
      <c r="D89" t="s">
        <v>79</v>
      </c>
      <c r="E89" t="s">
        <v>52</v>
      </c>
      <c r="F89">
        <v>4</v>
      </c>
      <c r="G89">
        <v>83.74</v>
      </c>
      <c r="H89">
        <v>334.96</v>
      </c>
      <c r="I89" t="s">
        <v>14</v>
      </c>
      <c r="J89">
        <f xml:space="preserve"> Sales_Data[[#This Row],[Quantity]] * Sales_Data[[#This Row],[Price]]</f>
        <v>334.96</v>
      </c>
      <c r="K89" t="str">
        <f>TEXT(Sales_Data[[#This Row],[Order Date]],"MMM")</f>
        <v>Sept</v>
      </c>
      <c r="L89">
        <f>YEAR(Sales_Data[[#This Row],[Order Date]])</f>
        <v>2023</v>
      </c>
    </row>
    <row r="90" spans="1:12">
      <c r="A90" t="s">
        <v>252</v>
      </c>
      <c r="B90" s="1" t="s">
        <v>253</v>
      </c>
      <c r="C90" t="s">
        <v>254</v>
      </c>
      <c r="D90" t="s">
        <v>35</v>
      </c>
      <c r="E90" t="s">
        <v>13</v>
      </c>
      <c r="F90">
        <v>4</v>
      </c>
      <c r="G90">
        <v>926.19</v>
      </c>
      <c r="H90">
        <v>3704.76</v>
      </c>
      <c r="I90" t="s">
        <v>31</v>
      </c>
      <c r="J90">
        <f xml:space="preserve"> Sales_Data[[#This Row],[Quantity]] * Sales_Data[[#This Row],[Price]]</f>
        <v>3704.76</v>
      </c>
      <c r="K90" t="str">
        <f>TEXT(Sales_Data[[#This Row],[Order Date]],"MMM")</f>
        <v>Oct</v>
      </c>
      <c r="L90">
        <f>YEAR(Sales_Data[[#This Row],[Order Date]])</f>
        <v>2023</v>
      </c>
    </row>
    <row r="91" spans="1:12">
      <c r="A91" t="s">
        <v>255</v>
      </c>
      <c r="B91" s="1" t="s">
        <v>256</v>
      </c>
      <c r="C91" t="s">
        <v>208</v>
      </c>
      <c r="D91" t="s">
        <v>110</v>
      </c>
      <c r="E91" t="s">
        <v>52</v>
      </c>
      <c r="F91">
        <v>5</v>
      </c>
      <c r="G91">
        <v>1247.55</v>
      </c>
      <c r="H91">
        <v>6237.75</v>
      </c>
      <c r="I91" t="s">
        <v>14</v>
      </c>
      <c r="J91">
        <f xml:space="preserve"> Sales_Data[[#This Row],[Quantity]] * Sales_Data[[#This Row],[Price]]</f>
        <v>6237.75</v>
      </c>
      <c r="K91" t="str">
        <f>TEXT(Sales_Data[[#This Row],[Order Date]],"MMM")</f>
        <v>Mar</v>
      </c>
      <c r="L91">
        <f>YEAR(Sales_Data[[#This Row],[Order Date]])</f>
        <v>2023</v>
      </c>
    </row>
    <row r="92" spans="1:12">
      <c r="A92" t="s">
        <v>257</v>
      </c>
      <c r="B92" s="1" t="s">
        <v>150</v>
      </c>
      <c r="C92" t="s">
        <v>166</v>
      </c>
      <c r="D92" t="s">
        <v>18</v>
      </c>
      <c r="E92" t="s">
        <v>19</v>
      </c>
      <c r="F92">
        <v>3</v>
      </c>
      <c r="G92">
        <v>1602.42</v>
      </c>
      <c r="H92">
        <v>4807.26</v>
      </c>
      <c r="I92" t="s">
        <v>31</v>
      </c>
      <c r="J92">
        <f xml:space="preserve"> Sales_Data[[#This Row],[Quantity]] * Sales_Data[[#This Row],[Price]]</f>
        <v>4807.26</v>
      </c>
      <c r="K92" t="str">
        <f>TEXT(Sales_Data[[#This Row],[Order Date]],"MMM")</f>
        <v>Sept</v>
      </c>
      <c r="L92">
        <f>YEAR(Sales_Data[[#This Row],[Order Date]])</f>
        <v>2023</v>
      </c>
    </row>
    <row r="93" spans="1:12">
      <c r="A93" t="s">
        <v>258</v>
      </c>
      <c r="B93" s="1" t="s">
        <v>259</v>
      </c>
      <c r="C93" t="s">
        <v>260</v>
      </c>
      <c r="D93" t="s">
        <v>79</v>
      </c>
      <c r="E93" t="s">
        <v>52</v>
      </c>
      <c r="F93">
        <v>2</v>
      </c>
      <c r="G93">
        <v>918.5</v>
      </c>
      <c r="H93">
        <v>1837</v>
      </c>
      <c r="I93" t="s">
        <v>23</v>
      </c>
      <c r="J93">
        <f xml:space="preserve"> Sales_Data[[#This Row],[Quantity]] * Sales_Data[[#This Row],[Price]]</f>
        <v>1837</v>
      </c>
      <c r="K93" t="str">
        <f>TEXT(Sales_Data[[#This Row],[Order Date]],"MMM")</f>
        <v>May</v>
      </c>
      <c r="L93">
        <f>YEAR(Sales_Data[[#This Row],[Order Date]])</f>
        <v>2023</v>
      </c>
    </row>
    <row r="94" spans="1:12">
      <c r="A94" t="s">
        <v>261</v>
      </c>
      <c r="B94" s="1" t="s">
        <v>262</v>
      </c>
      <c r="C94" t="s">
        <v>68</v>
      </c>
      <c r="D94" t="s">
        <v>35</v>
      </c>
      <c r="E94" t="s">
        <v>13</v>
      </c>
      <c r="F94">
        <v>3</v>
      </c>
      <c r="G94">
        <v>320.20999999999998</v>
      </c>
      <c r="H94">
        <v>960.63</v>
      </c>
      <c r="I94" t="s">
        <v>23</v>
      </c>
      <c r="J94">
        <f xml:space="preserve"> Sales_Data[[#This Row],[Quantity]] * Sales_Data[[#This Row],[Price]]</f>
        <v>960.62999999999988</v>
      </c>
      <c r="K94" t="str">
        <f>TEXT(Sales_Data[[#This Row],[Order Date]],"MMM")</f>
        <v>Oct</v>
      </c>
      <c r="L94">
        <f>YEAR(Sales_Data[[#This Row],[Order Date]])</f>
        <v>2023</v>
      </c>
    </row>
    <row r="95" spans="1:12">
      <c r="A95" t="s">
        <v>263</v>
      </c>
      <c r="B95" s="1" t="s">
        <v>264</v>
      </c>
      <c r="C95" t="s">
        <v>265</v>
      </c>
      <c r="D95" t="s">
        <v>59</v>
      </c>
      <c r="E95" t="s">
        <v>40</v>
      </c>
      <c r="F95">
        <v>4</v>
      </c>
      <c r="G95">
        <v>493.67</v>
      </c>
      <c r="H95">
        <v>1974.68</v>
      </c>
      <c r="I95" t="s">
        <v>47</v>
      </c>
      <c r="J95">
        <f xml:space="preserve"> Sales_Data[[#This Row],[Quantity]] * Sales_Data[[#This Row],[Price]]</f>
        <v>1974.68</v>
      </c>
      <c r="K95" t="str">
        <f>TEXT(Sales_Data[[#This Row],[Order Date]],"MMM")</f>
        <v>Jun</v>
      </c>
      <c r="L95">
        <f>YEAR(Sales_Data[[#This Row],[Order Date]])</f>
        <v>2023</v>
      </c>
    </row>
    <row r="96" spans="1:12">
      <c r="A96" t="s">
        <v>266</v>
      </c>
      <c r="B96" s="1" t="s">
        <v>267</v>
      </c>
      <c r="C96" t="s">
        <v>268</v>
      </c>
      <c r="D96" t="s">
        <v>30</v>
      </c>
      <c r="E96" t="s">
        <v>19</v>
      </c>
      <c r="F96">
        <v>4</v>
      </c>
      <c r="G96">
        <v>1528.31</v>
      </c>
      <c r="H96">
        <v>6113.24</v>
      </c>
      <c r="I96" t="s">
        <v>31</v>
      </c>
      <c r="J96">
        <f xml:space="preserve"> Sales_Data[[#This Row],[Quantity]] * Sales_Data[[#This Row],[Price]]</f>
        <v>6113.24</v>
      </c>
      <c r="K96" t="str">
        <f>TEXT(Sales_Data[[#This Row],[Order Date]],"MMM")</f>
        <v>Dec</v>
      </c>
      <c r="L96">
        <f>YEAR(Sales_Data[[#This Row],[Order Date]])</f>
        <v>2023</v>
      </c>
    </row>
    <row r="97" spans="1:12">
      <c r="A97" t="s">
        <v>269</v>
      </c>
      <c r="B97" s="1" t="s">
        <v>270</v>
      </c>
      <c r="C97" t="s">
        <v>268</v>
      </c>
      <c r="D97" t="s">
        <v>79</v>
      </c>
      <c r="E97" t="s">
        <v>52</v>
      </c>
      <c r="F97">
        <v>5</v>
      </c>
      <c r="G97">
        <v>1436.16</v>
      </c>
      <c r="H97">
        <v>7180.8</v>
      </c>
      <c r="I97" t="s">
        <v>31</v>
      </c>
      <c r="J97">
        <f xml:space="preserve"> Sales_Data[[#This Row],[Quantity]] * Sales_Data[[#This Row],[Price]]</f>
        <v>7180.8</v>
      </c>
      <c r="K97" t="str">
        <f>TEXT(Sales_Data[[#This Row],[Order Date]],"MMM")</f>
        <v>Apr</v>
      </c>
      <c r="L97">
        <f>YEAR(Sales_Data[[#This Row],[Order Date]])</f>
        <v>2023</v>
      </c>
    </row>
    <row r="98" spans="1:12">
      <c r="A98" t="s">
        <v>271</v>
      </c>
      <c r="B98" s="1" t="s">
        <v>272</v>
      </c>
      <c r="C98" t="s">
        <v>273</v>
      </c>
      <c r="D98" t="s">
        <v>51</v>
      </c>
      <c r="E98" t="s">
        <v>52</v>
      </c>
      <c r="F98">
        <v>4</v>
      </c>
      <c r="G98">
        <v>315.87</v>
      </c>
      <c r="H98">
        <v>1263.48</v>
      </c>
      <c r="I98" t="s">
        <v>14</v>
      </c>
      <c r="J98">
        <f xml:space="preserve"> Sales_Data[[#This Row],[Quantity]] * Sales_Data[[#This Row],[Price]]</f>
        <v>1263.48</v>
      </c>
      <c r="K98" t="str">
        <f>TEXT(Sales_Data[[#This Row],[Order Date]],"MMM")</f>
        <v>Aug</v>
      </c>
      <c r="L98">
        <f>YEAR(Sales_Data[[#This Row],[Order Date]])</f>
        <v>2023</v>
      </c>
    </row>
    <row r="99" spans="1:12">
      <c r="A99" t="s">
        <v>274</v>
      </c>
      <c r="B99" s="1" t="s">
        <v>275</v>
      </c>
      <c r="C99" t="s">
        <v>276</v>
      </c>
      <c r="D99" t="s">
        <v>110</v>
      </c>
      <c r="E99" t="s">
        <v>52</v>
      </c>
      <c r="F99">
        <v>4</v>
      </c>
      <c r="G99">
        <v>1918.75</v>
      </c>
      <c r="H99">
        <v>7675</v>
      </c>
      <c r="I99" t="s">
        <v>47</v>
      </c>
      <c r="J99">
        <f xml:space="preserve"> Sales_Data[[#This Row],[Quantity]] * Sales_Data[[#This Row],[Price]]</f>
        <v>7675</v>
      </c>
      <c r="K99" t="str">
        <f>TEXT(Sales_Data[[#This Row],[Order Date]],"MMM")</f>
        <v>May</v>
      </c>
      <c r="L99">
        <f>YEAR(Sales_Data[[#This Row],[Order Date]])</f>
        <v>2023</v>
      </c>
    </row>
    <row r="100" spans="1:12">
      <c r="A100" t="s">
        <v>277</v>
      </c>
      <c r="B100" s="1" t="s">
        <v>253</v>
      </c>
      <c r="C100" t="s">
        <v>278</v>
      </c>
      <c r="D100" t="s">
        <v>35</v>
      </c>
      <c r="E100" t="s">
        <v>13</v>
      </c>
      <c r="F100">
        <v>3</v>
      </c>
      <c r="G100">
        <v>205.7</v>
      </c>
      <c r="H100">
        <v>617.1</v>
      </c>
      <c r="I100" t="s">
        <v>14</v>
      </c>
      <c r="J100">
        <f xml:space="preserve"> Sales_Data[[#This Row],[Quantity]] * Sales_Data[[#This Row],[Price]]</f>
        <v>617.09999999999991</v>
      </c>
      <c r="K100" t="str">
        <f>TEXT(Sales_Data[[#This Row],[Order Date]],"MMM")</f>
        <v>Oct</v>
      </c>
      <c r="L100">
        <f>YEAR(Sales_Data[[#This Row],[Order Date]])</f>
        <v>2023</v>
      </c>
    </row>
    <row r="101" spans="1:12">
      <c r="A101" t="s">
        <v>279</v>
      </c>
      <c r="B101" s="1" t="s">
        <v>280</v>
      </c>
      <c r="C101" t="s">
        <v>249</v>
      </c>
      <c r="D101" t="s">
        <v>12</v>
      </c>
      <c r="E101" t="s">
        <v>13</v>
      </c>
      <c r="F101">
        <v>4</v>
      </c>
      <c r="G101">
        <v>603.54999999999995</v>
      </c>
      <c r="H101">
        <v>2414.1999999999998</v>
      </c>
      <c r="I101" t="s">
        <v>23</v>
      </c>
      <c r="J101">
        <f xml:space="preserve"> Sales_Data[[#This Row],[Quantity]] * Sales_Data[[#This Row],[Price]]</f>
        <v>2414.1999999999998</v>
      </c>
      <c r="K101" t="str">
        <f>TEXT(Sales_Data[[#This Row],[Order Date]],"MMM")</f>
        <v>Jul</v>
      </c>
      <c r="L101">
        <f>YEAR(Sales_Data[[#This Row],[Order Date]])</f>
        <v>2023</v>
      </c>
    </row>
    <row r="102" spans="1:12">
      <c r="A102" t="s">
        <v>281</v>
      </c>
      <c r="B102" s="1" t="s">
        <v>282</v>
      </c>
      <c r="C102" t="s">
        <v>283</v>
      </c>
      <c r="D102" t="s">
        <v>12</v>
      </c>
      <c r="E102" t="s">
        <v>13</v>
      </c>
      <c r="F102">
        <v>4</v>
      </c>
      <c r="G102">
        <v>1865.26</v>
      </c>
      <c r="H102">
        <v>7461.04</v>
      </c>
      <c r="I102" t="s">
        <v>31</v>
      </c>
      <c r="J102">
        <f xml:space="preserve"> Sales_Data[[#This Row],[Quantity]] * Sales_Data[[#This Row],[Price]]</f>
        <v>7461.04</v>
      </c>
      <c r="K102" t="str">
        <f>TEXT(Sales_Data[[#This Row],[Order Date]],"MMM")</f>
        <v>Jun</v>
      </c>
      <c r="L102">
        <f>YEAR(Sales_Data[[#This Row],[Order Date]])</f>
        <v>2023</v>
      </c>
    </row>
    <row r="103" spans="1:12">
      <c r="A103" t="s">
        <v>284</v>
      </c>
      <c r="B103" s="1" t="s">
        <v>75</v>
      </c>
      <c r="C103" t="s">
        <v>238</v>
      </c>
      <c r="D103" t="s">
        <v>59</v>
      </c>
      <c r="E103" t="s">
        <v>40</v>
      </c>
      <c r="F103">
        <v>2</v>
      </c>
      <c r="G103">
        <v>1964.06</v>
      </c>
      <c r="H103">
        <v>3928.12</v>
      </c>
      <c r="I103" t="s">
        <v>31</v>
      </c>
      <c r="J103">
        <f xml:space="preserve"> Sales_Data[[#This Row],[Quantity]] * Sales_Data[[#This Row],[Price]]</f>
        <v>3928.12</v>
      </c>
      <c r="K103" t="str">
        <f>TEXT(Sales_Data[[#This Row],[Order Date]],"MMM")</f>
        <v>Oct</v>
      </c>
      <c r="L103">
        <f>YEAR(Sales_Data[[#This Row],[Order Date]])</f>
        <v>2023</v>
      </c>
    </row>
    <row r="104" spans="1:12">
      <c r="A104" t="s">
        <v>285</v>
      </c>
      <c r="B104" s="1" t="s">
        <v>286</v>
      </c>
      <c r="C104" t="s">
        <v>287</v>
      </c>
      <c r="D104" t="s">
        <v>12</v>
      </c>
      <c r="E104" t="s">
        <v>13</v>
      </c>
      <c r="F104">
        <v>3</v>
      </c>
      <c r="G104">
        <v>303.85000000000002</v>
      </c>
      <c r="H104">
        <v>911.55</v>
      </c>
      <c r="I104" t="s">
        <v>23</v>
      </c>
      <c r="J104">
        <f xml:space="preserve"> Sales_Data[[#This Row],[Quantity]] * Sales_Data[[#This Row],[Price]]</f>
        <v>911.55000000000007</v>
      </c>
      <c r="K104" t="str">
        <f>TEXT(Sales_Data[[#This Row],[Order Date]],"MMM")</f>
        <v>Feb</v>
      </c>
      <c r="L104">
        <f>YEAR(Sales_Data[[#This Row],[Order Date]])</f>
        <v>2023</v>
      </c>
    </row>
    <row r="105" spans="1:12">
      <c r="A105" t="s">
        <v>288</v>
      </c>
      <c r="B105" s="1" t="s">
        <v>289</v>
      </c>
      <c r="C105" t="s">
        <v>290</v>
      </c>
      <c r="D105" t="s">
        <v>51</v>
      </c>
      <c r="E105" t="s">
        <v>52</v>
      </c>
      <c r="F105">
        <v>1</v>
      </c>
      <c r="G105">
        <v>1725.16</v>
      </c>
      <c r="H105">
        <v>1725.16</v>
      </c>
      <c r="I105" t="s">
        <v>31</v>
      </c>
      <c r="J105">
        <f xml:space="preserve"> Sales_Data[[#This Row],[Quantity]] * Sales_Data[[#This Row],[Price]]</f>
        <v>1725.16</v>
      </c>
      <c r="K105" t="str">
        <f>TEXT(Sales_Data[[#This Row],[Order Date]],"MMM")</f>
        <v>Jan</v>
      </c>
      <c r="L105">
        <f>YEAR(Sales_Data[[#This Row],[Order Date]])</f>
        <v>2023</v>
      </c>
    </row>
    <row r="106" spans="1:12">
      <c r="A106" t="s">
        <v>291</v>
      </c>
      <c r="B106" s="1" t="s">
        <v>292</v>
      </c>
      <c r="C106" t="s">
        <v>293</v>
      </c>
      <c r="D106" t="s">
        <v>110</v>
      </c>
      <c r="E106" t="s">
        <v>52</v>
      </c>
      <c r="F106">
        <v>1</v>
      </c>
      <c r="G106">
        <v>494.6</v>
      </c>
      <c r="H106">
        <v>494.6</v>
      </c>
      <c r="I106" t="s">
        <v>14</v>
      </c>
      <c r="J106">
        <f xml:space="preserve"> Sales_Data[[#This Row],[Quantity]] * Sales_Data[[#This Row],[Price]]</f>
        <v>494.6</v>
      </c>
      <c r="K106" t="str">
        <f>TEXT(Sales_Data[[#This Row],[Order Date]],"MMM")</f>
        <v>Dec</v>
      </c>
      <c r="L106">
        <f>YEAR(Sales_Data[[#This Row],[Order Date]])</f>
        <v>2023</v>
      </c>
    </row>
    <row r="107" spans="1:12">
      <c r="A107" t="s">
        <v>294</v>
      </c>
      <c r="B107" s="1" t="s">
        <v>295</v>
      </c>
      <c r="C107" t="s">
        <v>50</v>
      </c>
      <c r="D107" t="s">
        <v>79</v>
      </c>
      <c r="E107" t="s">
        <v>52</v>
      </c>
      <c r="F107">
        <v>2</v>
      </c>
      <c r="G107">
        <v>1854.15</v>
      </c>
      <c r="H107">
        <v>3708.3</v>
      </c>
      <c r="I107" t="s">
        <v>14</v>
      </c>
      <c r="J107">
        <f xml:space="preserve"> Sales_Data[[#This Row],[Quantity]] * Sales_Data[[#This Row],[Price]]</f>
        <v>3708.3</v>
      </c>
      <c r="K107" t="str">
        <f>TEXT(Sales_Data[[#This Row],[Order Date]],"MMM")</f>
        <v>Apr</v>
      </c>
      <c r="L107">
        <f>YEAR(Sales_Data[[#This Row],[Order Date]])</f>
        <v>2023</v>
      </c>
    </row>
    <row r="108" spans="1:12">
      <c r="A108" t="s">
        <v>296</v>
      </c>
      <c r="B108" s="1" t="s">
        <v>207</v>
      </c>
      <c r="C108" t="s">
        <v>297</v>
      </c>
      <c r="D108" t="s">
        <v>39</v>
      </c>
      <c r="E108" t="s">
        <v>40</v>
      </c>
      <c r="F108">
        <v>3</v>
      </c>
      <c r="G108">
        <v>1470.33</v>
      </c>
      <c r="H108">
        <v>4410.99</v>
      </c>
      <c r="I108" t="s">
        <v>47</v>
      </c>
      <c r="J108">
        <f xml:space="preserve"> Sales_Data[[#This Row],[Quantity]] * Sales_Data[[#This Row],[Price]]</f>
        <v>4410.99</v>
      </c>
      <c r="K108" t="str">
        <f>TEXT(Sales_Data[[#This Row],[Order Date]],"MMM")</f>
        <v>Jul</v>
      </c>
      <c r="L108">
        <f>YEAR(Sales_Data[[#This Row],[Order Date]])</f>
        <v>2023</v>
      </c>
    </row>
    <row r="109" spans="1:12">
      <c r="A109" t="s">
        <v>298</v>
      </c>
      <c r="B109" s="1" t="s">
        <v>158</v>
      </c>
      <c r="C109" t="s">
        <v>113</v>
      </c>
      <c r="D109" t="s">
        <v>39</v>
      </c>
      <c r="E109" t="s">
        <v>40</v>
      </c>
      <c r="F109">
        <v>2</v>
      </c>
      <c r="G109">
        <v>301.61</v>
      </c>
      <c r="H109">
        <v>603.22</v>
      </c>
      <c r="I109" t="s">
        <v>47</v>
      </c>
      <c r="J109">
        <f xml:space="preserve"> Sales_Data[[#This Row],[Quantity]] * Sales_Data[[#This Row],[Price]]</f>
        <v>603.22</v>
      </c>
      <c r="K109" t="str">
        <f>TEXT(Sales_Data[[#This Row],[Order Date]],"MMM")</f>
        <v>May</v>
      </c>
      <c r="L109">
        <f>YEAR(Sales_Data[[#This Row],[Order Date]])</f>
        <v>2023</v>
      </c>
    </row>
    <row r="110" spans="1:12">
      <c r="A110" t="s">
        <v>299</v>
      </c>
      <c r="B110" s="1" t="s">
        <v>300</v>
      </c>
      <c r="C110" t="s">
        <v>38</v>
      </c>
      <c r="D110" t="s">
        <v>79</v>
      </c>
      <c r="E110" t="s">
        <v>52</v>
      </c>
      <c r="F110">
        <v>5</v>
      </c>
      <c r="G110">
        <v>603.28</v>
      </c>
      <c r="H110">
        <v>3016.4</v>
      </c>
      <c r="I110" t="s">
        <v>14</v>
      </c>
      <c r="J110">
        <f xml:space="preserve"> Sales_Data[[#This Row],[Quantity]] * Sales_Data[[#This Row],[Price]]</f>
        <v>3016.3999999999996</v>
      </c>
      <c r="K110" t="str">
        <f>TEXT(Sales_Data[[#This Row],[Order Date]],"MMM")</f>
        <v>Jul</v>
      </c>
      <c r="L110">
        <f>YEAR(Sales_Data[[#This Row],[Order Date]])</f>
        <v>2023</v>
      </c>
    </row>
    <row r="111" spans="1:12">
      <c r="A111" t="s">
        <v>301</v>
      </c>
      <c r="B111" s="1" t="s">
        <v>101</v>
      </c>
      <c r="C111" t="s">
        <v>183</v>
      </c>
      <c r="D111" t="s">
        <v>12</v>
      </c>
      <c r="E111" t="s">
        <v>13</v>
      </c>
      <c r="F111">
        <v>3</v>
      </c>
      <c r="G111">
        <v>1872.88</v>
      </c>
      <c r="H111">
        <v>5618.64</v>
      </c>
      <c r="I111" t="s">
        <v>47</v>
      </c>
      <c r="J111">
        <f xml:space="preserve"> Sales_Data[[#This Row],[Quantity]] * Sales_Data[[#This Row],[Price]]</f>
        <v>5618.64</v>
      </c>
      <c r="K111" t="str">
        <f>TEXT(Sales_Data[[#This Row],[Order Date]],"MMM")</f>
        <v>May</v>
      </c>
      <c r="L111">
        <f>YEAR(Sales_Data[[#This Row],[Order Date]])</f>
        <v>2023</v>
      </c>
    </row>
    <row r="112" spans="1:12">
      <c r="A112" t="s">
        <v>302</v>
      </c>
      <c r="B112" s="1" t="s">
        <v>303</v>
      </c>
      <c r="C112" t="s">
        <v>276</v>
      </c>
      <c r="D112" t="s">
        <v>12</v>
      </c>
      <c r="E112" t="s">
        <v>13</v>
      </c>
      <c r="F112">
        <v>4</v>
      </c>
      <c r="G112">
        <v>1856.24</v>
      </c>
      <c r="H112">
        <v>7424.96</v>
      </c>
      <c r="I112" t="s">
        <v>23</v>
      </c>
      <c r="J112">
        <f xml:space="preserve"> Sales_Data[[#This Row],[Quantity]] * Sales_Data[[#This Row],[Price]]</f>
        <v>7424.96</v>
      </c>
      <c r="K112" t="str">
        <f>TEXT(Sales_Data[[#This Row],[Order Date]],"MMM")</f>
        <v>Mar</v>
      </c>
      <c r="L112">
        <f>YEAR(Sales_Data[[#This Row],[Order Date]])</f>
        <v>2023</v>
      </c>
    </row>
    <row r="113" spans="1:12">
      <c r="A113" t="s">
        <v>304</v>
      </c>
      <c r="B113" s="1" t="s">
        <v>305</v>
      </c>
      <c r="C113" t="s">
        <v>201</v>
      </c>
      <c r="D113" t="s">
        <v>59</v>
      </c>
      <c r="E113" t="s">
        <v>40</v>
      </c>
      <c r="F113">
        <v>5</v>
      </c>
      <c r="G113">
        <v>949.8</v>
      </c>
      <c r="H113">
        <v>4749</v>
      </c>
      <c r="I113" t="s">
        <v>47</v>
      </c>
      <c r="J113">
        <f xml:space="preserve"> Sales_Data[[#This Row],[Quantity]] * Sales_Data[[#This Row],[Price]]</f>
        <v>4749</v>
      </c>
      <c r="K113" t="str">
        <f>TEXT(Sales_Data[[#This Row],[Order Date]],"MMM")</f>
        <v>Jul</v>
      </c>
      <c r="L113">
        <f>YEAR(Sales_Data[[#This Row],[Order Date]])</f>
        <v>2023</v>
      </c>
    </row>
    <row r="114" spans="1:12">
      <c r="A114" t="s">
        <v>306</v>
      </c>
      <c r="B114" s="1" t="s">
        <v>205</v>
      </c>
      <c r="C114" t="s">
        <v>226</v>
      </c>
      <c r="D114" t="s">
        <v>18</v>
      </c>
      <c r="E114" t="s">
        <v>19</v>
      </c>
      <c r="F114">
        <v>2</v>
      </c>
      <c r="G114">
        <v>1632.93</v>
      </c>
      <c r="H114">
        <v>3265.86</v>
      </c>
      <c r="I114" t="s">
        <v>23</v>
      </c>
      <c r="J114">
        <f xml:space="preserve"> Sales_Data[[#This Row],[Quantity]] * Sales_Data[[#This Row],[Price]]</f>
        <v>3265.86</v>
      </c>
      <c r="K114" t="str">
        <f>TEXT(Sales_Data[[#This Row],[Order Date]],"MMM")</f>
        <v>Apr</v>
      </c>
      <c r="L114">
        <f>YEAR(Sales_Data[[#This Row],[Order Date]])</f>
        <v>2023</v>
      </c>
    </row>
    <row r="115" spans="1:12">
      <c r="A115" t="s">
        <v>307</v>
      </c>
      <c r="B115" s="1" t="s">
        <v>253</v>
      </c>
      <c r="C115" t="s">
        <v>308</v>
      </c>
      <c r="D115" t="s">
        <v>35</v>
      </c>
      <c r="E115" t="s">
        <v>13</v>
      </c>
      <c r="F115">
        <v>4</v>
      </c>
      <c r="G115">
        <v>1995.82</v>
      </c>
      <c r="H115">
        <v>7983.28</v>
      </c>
      <c r="I115" t="s">
        <v>47</v>
      </c>
      <c r="J115">
        <f xml:space="preserve"> Sales_Data[[#This Row],[Quantity]] * Sales_Data[[#This Row],[Price]]</f>
        <v>7983.28</v>
      </c>
      <c r="K115" t="str">
        <f>TEXT(Sales_Data[[#This Row],[Order Date]],"MMM")</f>
        <v>Oct</v>
      </c>
      <c r="L115">
        <f>YEAR(Sales_Data[[#This Row],[Order Date]])</f>
        <v>2023</v>
      </c>
    </row>
    <row r="116" spans="1:12">
      <c r="A116" t="s">
        <v>309</v>
      </c>
      <c r="B116" s="1" t="s">
        <v>310</v>
      </c>
      <c r="C116" t="s">
        <v>73</v>
      </c>
      <c r="D116" t="s">
        <v>30</v>
      </c>
      <c r="E116" t="s">
        <v>19</v>
      </c>
      <c r="F116">
        <v>4</v>
      </c>
      <c r="G116">
        <v>917.64</v>
      </c>
      <c r="H116">
        <v>3670.56</v>
      </c>
      <c r="I116" t="s">
        <v>31</v>
      </c>
      <c r="J116">
        <f xml:space="preserve"> Sales_Data[[#This Row],[Quantity]] * Sales_Data[[#This Row],[Price]]</f>
        <v>3670.56</v>
      </c>
      <c r="K116" t="str">
        <f>TEXT(Sales_Data[[#This Row],[Order Date]],"MMM")</f>
        <v>Sept</v>
      </c>
      <c r="L116">
        <f>YEAR(Sales_Data[[#This Row],[Order Date]])</f>
        <v>2023</v>
      </c>
    </row>
    <row r="117" spans="1:12">
      <c r="A117" t="s">
        <v>311</v>
      </c>
      <c r="B117" s="1" t="s">
        <v>312</v>
      </c>
      <c r="C117" t="s">
        <v>313</v>
      </c>
      <c r="D117" t="s">
        <v>30</v>
      </c>
      <c r="E117" t="s">
        <v>19</v>
      </c>
      <c r="F117">
        <v>1</v>
      </c>
      <c r="G117">
        <v>1666.57</v>
      </c>
      <c r="H117">
        <v>1666.57</v>
      </c>
      <c r="I117" t="s">
        <v>47</v>
      </c>
      <c r="J117">
        <f xml:space="preserve"> Sales_Data[[#This Row],[Quantity]] * Sales_Data[[#This Row],[Price]]</f>
        <v>1666.57</v>
      </c>
      <c r="K117" t="str">
        <f>TEXT(Sales_Data[[#This Row],[Order Date]],"MMM")</f>
        <v>Jul</v>
      </c>
      <c r="L117">
        <f>YEAR(Sales_Data[[#This Row],[Order Date]])</f>
        <v>2023</v>
      </c>
    </row>
    <row r="118" spans="1:12">
      <c r="A118" t="s">
        <v>314</v>
      </c>
      <c r="B118" s="1" t="s">
        <v>315</v>
      </c>
      <c r="C118" t="s">
        <v>316</v>
      </c>
      <c r="D118" t="s">
        <v>30</v>
      </c>
      <c r="E118" t="s">
        <v>19</v>
      </c>
      <c r="F118">
        <v>5</v>
      </c>
      <c r="G118">
        <v>1237.3399999999999</v>
      </c>
      <c r="H118">
        <v>6186.7</v>
      </c>
      <c r="I118" t="s">
        <v>47</v>
      </c>
      <c r="J118">
        <f xml:space="preserve"> Sales_Data[[#This Row],[Quantity]] * Sales_Data[[#This Row],[Price]]</f>
        <v>6186.7</v>
      </c>
      <c r="K118" t="str">
        <f>TEXT(Sales_Data[[#This Row],[Order Date]],"MMM")</f>
        <v>Apr</v>
      </c>
      <c r="L118">
        <f>YEAR(Sales_Data[[#This Row],[Order Date]])</f>
        <v>2023</v>
      </c>
    </row>
    <row r="119" spans="1:12">
      <c r="A119" t="s">
        <v>317</v>
      </c>
      <c r="B119" s="1" t="s">
        <v>318</v>
      </c>
      <c r="C119" t="s">
        <v>319</v>
      </c>
      <c r="D119" t="s">
        <v>59</v>
      </c>
      <c r="E119" t="s">
        <v>40</v>
      </c>
      <c r="F119">
        <v>5</v>
      </c>
      <c r="G119">
        <v>1404.5</v>
      </c>
      <c r="H119">
        <v>7022.5</v>
      </c>
      <c r="I119" t="s">
        <v>23</v>
      </c>
      <c r="J119">
        <f xml:space="preserve"> Sales_Data[[#This Row],[Quantity]] * Sales_Data[[#This Row],[Price]]</f>
        <v>7022.5</v>
      </c>
      <c r="K119" t="str">
        <f>TEXT(Sales_Data[[#This Row],[Order Date]],"MMM")</f>
        <v>Mar</v>
      </c>
      <c r="L119">
        <f>YEAR(Sales_Data[[#This Row],[Order Date]])</f>
        <v>2023</v>
      </c>
    </row>
    <row r="120" spans="1:12">
      <c r="A120" t="s">
        <v>320</v>
      </c>
      <c r="B120" s="1" t="s">
        <v>321</v>
      </c>
      <c r="C120" t="s">
        <v>130</v>
      </c>
      <c r="D120" t="s">
        <v>51</v>
      </c>
      <c r="E120" t="s">
        <v>52</v>
      </c>
      <c r="F120">
        <v>4</v>
      </c>
      <c r="G120">
        <v>824.58</v>
      </c>
      <c r="H120">
        <v>3298.32</v>
      </c>
      <c r="I120" t="s">
        <v>31</v>
      </c>
      <c r="J120">
        <f xml:space="preserve"> Sales_Data[[#This Row],[Quantity]] * Sales_Data[[#This Row],[Price]]</f>
        <v>3298.32</v>
      </c>
      <c r="K120" t="str">
        <f>TEXT(Sales_Data[[#This Row],[Order Date]],"MMM")</f>
        <v>Apr</v>
      </c>
      <c r="L120">
        <f>YEAR(Sales_Data[[#This Row],[Order Date]])</f>
        <v>2023</v>
      </c>
    </row>
    <row r="121" spans="1:12">
      <c r="A121" t="s">
        <v>322</v>
      </c>
      <c r="B121" s="1" t="s">
        <v>323</v>
      </c>
      <c r="C121" t="s">
        <v>78</v>
      </c>
      <c r="D121" t="s">
        <v>18</v>
      </c>
      <c r="E121" t="s">
        <v>19</v>
      </c>
      <c r="F121">
        <v>5</v>
      </c>
      <c r="G121">
        <v>1744.56</v>
      </c>
      <c r="H121">
        <v>8722.7999999999993</v>
      </c>
      <c r="I121" t="s">
        <v>14</v>
      </c>
      <c r="J121">
        <f xml:space="preserve"> Sales_Data[[#This Row],[Quantity]] * Sales_Data[[#This Row],[Price]]</f>
        <v>8722.7999999999993</v>
      </c>
      <c r="K121" t="str">
        <f>TEXT(Sales_Data[[#This Row],[Order Date]],"MMM")</f>
        <v>Feb</v>
      </c>
      <c r="L121">
        <f>YEAR(Sales_Data[[#This Row],[Order Date]])</f>
        <v>2023</v>
      </c>
    </row>
    <row r="122" spans="1:12">
      <c r="A122" t="s">
        <v>324</v>
      </c>
      <c r="B122" s="1" t="s">
        <v>325</v>
      </c>
      <c r="C122" t="s">
        <v>276</v>
      </c>
      <c r="D122" t="s">
        <v>51</v>
      </c>
      <c r="E122" t="s">
        <v>52</v>
      </c>
      <c r="F122">
        <v>4</v>
      </c>
      <c r="G122">
        <v>1110.6199999999999</v>
      </c>
      <c r="H122">
        <v>4442.4799999999996</v>
      </c>
      <c r="I122" t="s">
        <v>14</v>
      </c>
      <c r="J122">
        <f xml:space="preserve"> Sales_Data[[#This Row],[Quantity]] * Sales_Data[[#This Row],[Price]]</f>
        <v>4442.4799999999996</v>
      </c>
      <c r="K122" t="str">
        <f>TEXT(Sales_Data[[#This Row],[Order Date]],"MMM")</f>
        <v>Jun</v>
      </c>
      <c r="L122">
        <f>YEAR(Sales_Data[[#This Row],[Order Date]])</f>
        <v>2023</v>
      </c>
    </row>
    <row r="123" spans="1:12">
      <c r="A123" t="s">
        <v>326</v>
      </c>
      <c r="B123" s="1" t="s">
        <v>327</v>
      </c>
      <c r="C123" t="s">
        <v>169</v>
      </c>
      <c r="D123" t="s">
        <v>18</v>
      </c>
      <c r="E123" t="s">
        <v>19</v>
      </c>
      <c r="F123">
        <v>1</v>
      </c>
      <c r="G123">
        <v>1217.9100000000001</v>
      </c>
      <c r="H123">
        <v>1217.9100000000001</v>
      </c>
      <c r="I123" t="s">
        <v>31</v>
      </c>
      <c r="J123">
        <f xml:space="preserve"> Sales_Data[[#This Row],[Quantity]] * Sales_Data[[#This Row],[Price]]</f>
        <v>1217.9100000000001</v>
      </c>
      <c r="K123" t="str">
        <f>TEXT(Sales_Data[[#This Row],[Order Date]],"MMM")</f>
        <v>Dec</v>
      </c>
      <c r="L123">
        <f>YEAR(Sales_Data[[#This Row],[Order Date]])</f>
        <v>2023</v>
      </c>
    </row>
    <row r="124" spans="1:12">
      <c r="A124" t="s">
        <v>328</v>
      </c>
      <c r="B124" s="1" t="s">
        <v>329</v>
      </c>
      <c r="C124" t="s">
        <v>297</v>
      </c>
      <c r="D124" t="s">
        <v>79</v>
      </c>
      <c r="E124" t="s">
        <v>52</v>
      </c>
      <c r="F124">
        <v>2</v>
      </c>
      <c r="G124">
        <v>1937.71</v>
      </c>
      <c r="H124">
        <v>3875.42</v>
      </c>
      <c r="I124" t="s">
        <v>23</v>
      </c>
      <c r="J124">
        <f xml:space="preserve"> Sales_Data[[#This Row],[Quantity]] * Sales_Data[[#This Row],[Price]]</f>
        <v>3875.42</v>
      </c>
      <c r="K124" t="str">
        <f>TEXT(Sales_Data[[#This Row],[Order Date]],"MMM")</f>
        <v>Jul</v>
      </c>
      <c r="L124">
        <f>YEAR(Sales_Data[[#This Row],[Order Date]])</f>
        <v>2023</v>
      </c>
    </row>
    <row r="125" spans="1:12">
      <c r="A125" t="s">
        <v>330</v>
      </c>
      <c r="B125" s="1" t="s">
        <v>331</v>
      </c>
      <c r="C125" t="s">
        <v>213</v>
      </c>
      <c r="D125" t="s">
        <v>35</v>
      </c>
      <c r="E125" t="s">
        <v>13</v>
      </c>
      <c r="F125">
        <v>3</v>
      </c>
      <c r="G125">
        <v>1758.75</v>
      </c>
      <c r="H125">
        <v>5276.25</v>
      </c>
      <c r="I125" t="s">
        <v>14</v>
      </c>
      <c r="J125">
        <f xml:space="preserve"> Sales_Data[[#This Row],[Quantity]] * Sales_Data[[#This Row],[Price]]</f>
        <v>5276.25</v>
      </c>
      <c r="K125" t="str">
        <f>TEXT(Sales_Data[[#This Row],[Order Date]],"MMM")</f>
        <v>Sept</v>
      </c>
      <c r="L125">
        <f>YEAR(Sales_Data[[#This Row],[Order Date]])</f>
        <v>2023</v>
      </c>
    </row>
    <row r="126" spans="1:12">
      <c r="A126" t="s">
        <v>332</v>
      </c>
      <c r="B126" s="1" t="s">
        <v>21</v>
      </c>
      <c r="C126" t="s">
        <v>70</v>
      </c>
      <c r="D126" t="s">
        <v>35</v>
      </c>
      <c r="E126" t="s">
        <v>13</v>
      </c>
      <c r="F126">
        <v>4</v>
      </c>
      <c r="G126">
        <v>605.53</v>
      </c>
      <c r="H126">
        <v>2422.12</v>
      </c>
      <c r="I126" t="s">
        <v>14</v>
      </c>
      <c r="J126">
        <f xml:space="preserve"> Sales_Data[[#This Row],[Quantity]] * Sales_Data[[#This Row],[Price]]</f>
        <v>2422.12</v>
      </c>
      <c r="K126" t="str">
        <f>TEXT(Sales_Data[[#This Row],[Order Date]],"MMM")</f>
        <v>Aug</v>
      </c>
      <c r="L126">
        <f>YEAR(Sales_Data[[#This Row],[Order Date]])</f>
        <v>2023</v>
      </c>
    </row>
    <row r="127" spans="1:12">
      <c r="A127" t="s">
        <v>333</v>
      </c>
      <c r="B127" s="1" t="s">
        <v>334</v>
      </c>
      <c r="C127" t="s">
        <v>177</v>
      </c>
      <c r="D127" t="s">
        <v>79</v>
      </c>
      <c r="E127" t="s">
        <v>52</v>
      </c>
      <c r="F127">
        <v>5</v>
      </c>
      <c r="G127">
        <v>1894.51</v>
      </c>
      <c r="H127">
        <v>9472.5499999999993</v>
      </c>
      <c r="I127" t="s">
        <v>47</v>
      </c>
      <c r="J127">
        <f xml:space="preserve"> Sales_Data[[#This Row],[Quantity]] * Sales_Data[[#This Row],[Price]]</f>
        <v>9472.5499999999993</v>
      </c>
      <c r="K127" t="str">
        <f>TEXT(Sales_Data[[#This Row],[Order Date]],"MMM")</f>
        <v>Sept</v>
      </c>
      <c r="L127">
        <f>YEAR(Sales_Data[[#This Row],[Order Date]])</f>
        <v>2023</v>
      </c>
    </row>
    <row r="128" spans="1:12">
      <c r="A128" t="s">
        <v>335</v>
      </c>
      <c r="B128" s="1" t="s">
        <v>336</v>
      </c>
      <c r="C128" t="s">
        <v>337</v>
      </c>
      <c r="D128" t="s">
        <v>51</v>
      </c>
      <c r="E128" t="s">
        <v>52</v>
      </c>
      <c r="F128">
        <v>4</v>
      </c>
      <c r="G128">
        <v>1220.96</v>
      </c>
      <c r="H128">
        <v>4883.84</v>
      </c>
      <c r="I128" t="s">
        <v>31</v>
      </c>
      <c r="J128">
        <f xml:space="preserve"> Sales_Data[[#This Row],[Quantity]] * Sales_Data[[#This Row],[Price]]</f>
        <v>4883.84</v>
      </c>
      <c r="K128" t="str">
        <f>TEXT(Sales_Data[[#This Row],[Order Date]],"MMM")</f>
        <v>Sept</v>
      </c>
      <c r="L128">
        <f>YEAR(Sales_Data[[#This Row],[Order Date]])</f>
        <v>2023</v>
      </c>
    </row>
    <row r="129" spans="1:12">
      <c r="A129" t="s">
        <v>338</v>
      </c>
      <c r="B129" s="1" t="s">
        <v>339</v>
      </c>
      <c r="C129" t="s">
        <v>340</v>
      </c>
      <c r="D129" t="s">
        <v>12</v>
      </c>
      <c r="E129" t="s">
        <v>13</v>
      </c>
      <c r="F129">
        <v>2</v>
      </c>
      <c r="G129">
        <v>201.86</v>
      </c>
      <c r="H129">
        <v>403.72</v>
      </c>
      <c r="I129" t="s">
        <v>14</v>
      </c>
      <c r="J129">
        <f xml:space="preserve"> Sales_Data[[#This Row],[Quantity]] * Sales_Data[[#This Row],[Price]]</f>
        <v>403.72</v>
      </c>
      <c r="K129" t="str">
        <f>TEXT(Sales_Data[[#This Row],[Order Date]],"MMM")</f>
        <v>Apr</v>
      </c>
      <c r="L129">
        <f>YEAR(Sales_Data[[#This Row],[Order Date]])</f>
        <v>2023</v>
      </c>
    </row>
    <row r="130" spans="1:12">
      <c r="A130" t="s">
        <v>341</v>
      </c>
      <c r="B130" s="1" t="s">
        <v>342</v>
      </c>
      <c r="C130" t="s">
        <v>343</v>
      </c>
      <c r="D130" t="s">
        <v>12</v>
      </c>
      <c r="E130" t="s">
        <v>13</v>
      </c>
      <c r="F130">
        <v>1</v>
      </c>
      <c r="G130">
        <v>1172.0999999999999</v>
      </c>
      <c r="H130">
        <v>1172.0999999999999</v>
      </c>
      <c r="I130" t="s">
        <v>23</v>
      </c>
      <c r="J130">
        <f xml:space="preserve"> Sales_Data[[#This Row],[Quantity]] * Sales_Data[[#This Row],[Price]]</f>
        <v>1172.0999999999999</v>
      </c>
      <c r="K130" t="str">
        <f>TEXT(Sales_Data[[#This Row],[Order Date]],"MMM")</f>
        <v>Apr</v>
      </c>
      <c r="L130">
        <f>YEAR(Sales_Data[[#This Row],[Order Date]])</f>
        <v>2023</v>
      </c>
    </row>
    <row r="131" spans="1:12">
      <c r="A131" t="s">
        <v>344</v>
      </c>
      <c r="B131" s="1" t="s">
        <v>342</v>
      </c>
      <c r="C131" t="s">
        <v>345</v>
      </c>
      <c r="D131" t="s">
        <v>35</v>
      </c>
      <c r="E131" t="s">
        <v>13</v>
      </c>
      <c r="F131">
        <v>2</v>
      </c>
      <c r="G131">
        <v>1351.01</v>
      </c>
      <c r="H131">
        <v>2702.02</v>
      </c>
      <c r="I131" t="s">
        <v>14</v>
      </c>
      <c r="J131">
        <f xml:space="preserve"> Sales_Data[[#This Row],[Quantity]] * Sales_Data[[#This Row],[Price]]</f>
        <v>2702.02</v>
      </c>
      <c r="K131" t="str">
        <f>TEXT(Sales_Data[[#This Row],[Order Date]],"MMM")</f>
        <v>Apr</v>
      </c>
      <c r="L131">
        <f>YEAR(Sales_Data[[#This Row],[Order Date]])</f>
        <v>2023</v>
      </c>
    </row>
    <row r="132" spans="1:12">
      <c r="A132" t="s">
        <v>346</v>
      </c>
      <c r="B132" s="1" t="s">
        <v>347</v>
      </c>
      <c r="C132" t="s">
        <v>337</v>
      </c>
      <c r="D132" t="s">
        <v>39</v>
      </c>
      <c r="E132" t="s">
        <v>40</v>
      </c>
      <c r="F132">
        <v>3</v>
      </c>
      <c r="G132">
        <v>268.12</v>
      </c>
      <c r="H132">
        <v>804.36</v>
      </c>
      <c r="I132" t="s">
        <v>47</v>
      </c>
      <c r="J132">
        <f xml:space="preserve"> Sales_Data[[#This Row],[Quantity]] * Sales_Data[[#This Row],[Price]]</f>
        <v>804.36</v>
      </c>
      <c r="K132" t="str">
        <f>TEXT(Sales_Data[[#This Row],[Order Date]],"MMM")</f>
        <v>Aug</v>
      </c>
      <c r="L132">
        <f>YEAR(Sales_Data[[#This Row],[Order Date]])</f>
        <v>2023</v>
      </c>
    </row>
    <row r="133" spans="1:12">
      <c r="A133" t="s">
        <v>348</v>
      </c>
      <c r="B133" s="1" t="s">
        <v>349</v>
      </c>
      <c r="C133" t="s">
        <v>130</v>
      </c>
      <c r="D133" t="s">
        <v>51</v>
      </c>
      <c r="E133" t="s">
        <v>52</v>
      </c>
      <c r="F133">
        <v>3</v>
      </c>
      <c r="G133">
        <v>715.78</v>
      </c>
      <c r="H133">
        <v>2147.34</v>
      </c>
      <c r="I133" t="s">
        <v>14</v>
      </c>
      <c r="J133">
        <f xml:space="preserve"> Sales_Data[[#This Row],[Quantity]] * Sales_Data[[#This Row],[Price]]</f>
        <v>2147.34</v>
      </c>
      <c r="K133" t="str">
        <f>TEXT(Sales_Data[[#This Row],[Order Date]],"MMM")</f>
        <v>Apr</v>
      </c>
      <c r="L133">
        <f>YEAR(Sales_Data[[#This Row],[Order Date]])</f>
        <v>2023</v>
      </c>
    </row>
    <row r="134" spans="1:12">
      <c r="A134" t="s">
        <v>350</v>
      </c>
      <c r="B134" s="1" t="s">
        <v>329</v>
      </c>
      <c r="C134" t="s">
        <v>121</v>
      </c>
      <c r="D134" t="s">
        <v>12</v>
      </c>
      <c r="E134" t="s">
        <v>13</v>
      </c>
      <c r="F134">
        <v>5</v>
      </c>
      <c r="G134">
        <v>615.19000000000005</v>
      </c>
      <c r="H134">
        <v>3075.95</v>
      </c>
      <c r="I134" t="s">
        <v>23</v>
      </c>
      <c r="J134">
        <f xml:space="preserve"> Sales_Data[[#This Row],[Quantity]] * Sales_Data[[#This Row],[Price]]</f>
        <v>3075.9500000000003</v>
      </c>
      <c r="K134" t="str">
        <f>TEXT(Sales_Data[[#This Row],[Order Date]],"MMM")</f>
        <v>Jul</v>
      </c>
      <c r="L134">
        <f>YEAR(Sales_Data[[#This Row],[Order Date]])</f>
        <v>2023</v>
      </c>
    </row>
    <row r="135" spans="1:12">
      <c r="A135" t="s">
        <v>351</v>
      </c>
      <c r="B135" s="1" t="s">
        <v>352</v>
      </c>
      <c r="C135" t="s">
        <v>353</v>
      </c>
      <c r="D135" t="s">
        <v>79</v>
      </c>
      <c r="E135" t="s">
        <v>52</v>
      </c>
      <c r="F135">
        <v>4</v>
      </c>
      <c r="G135">
        <v>1771.58</v>
      </c>
      <c r="H135">
        <v>7086.32</v>
      </c>
      <c r="I135" t="s">
        <v>23</v>
      </c>
      <c r="J135">
        <f xml:space="preserve"> Sales_Data[[#This Row],[Quantity]] * Sales_Data[[#This Row],[Price]]</f>
        <v>7086.32</v>
      </c>
      <c r="K135" t="str">
        <f>TEXT(Sales_Data[[#This Row],[Order Date]],"MMM")</f>
        <v>Mar</v>
      </c>
      <c r="L135">
        <f>YEAR(Sales_Data[[#This Row],[Order Date]])</f>
        <v>2023</v>
      </c>
    </row>
    <row r="136" spans="1:12">
      <c r="A136" t="s">
        <v>354</v>
      </c>
      <c r="B136" s="1" t="s">
        <v>355</v>
      </c>
      <c r="C136" t="s">
        <v>46</v>
      </c>
      <c r="D136" t="s">
        <v>51</v>
      </c>
      <c r="E136" t="s">
        <v>52</v>
      </c>
      <c r="F136">
        <v>5</v>
      </c>
      <c r="G136">
        <v>444.16</v>
      </c>
      <c r="H136">
        <v>2220.8000000000002</v>
      </c>
      <c r="I136" t="s">
        <v>47</v>
      </c>
      <c r="J136">
        <f xml:space="preserve"> Sales_Data[[#This Row],[Quantity]] * Sales_Data[[#This Row],[Price]]</f>
        <v>2220.8000000000002</v>
      </c>
      <c r="K136" t="str">
        <f>TEXT(Sales_Data[[#This Row],[Order Date]],"MMM")</f>
        <v>Jan</v>
      </c>
      <c r="L136">
        <f>YEAR(Sales_Data[[#This Row],[Order Date]])</f>
        <v>2023</v>
      </c>
    </row>
    <row r="137" spans="1:12">
      <c r="A137" t="s">
        <v>356</v>
      </c>
      <c r="B137" s="1" t="s">
        <v>357</v>
      </c>
      <c r="C137" t="s">
        <v>358</v>
      </c>
      <c r="D137" t="s">
        <v>39</v>
      </c>
      <c r="E137" t="s">
        <v>40</v>
      </c>
      <c r="F137">
        <v>2</v>
      </c>
      <c r="G137">
        <v>1727.18</v>
      </c>
      <c r="H137">
        <v>3454.36</v>
      </c>
      <c r="I137" t="s">
        <v>47</v>
      </c>
      <c r="J137">
        <f xml:space="preserve"> Sales_Data[[#This Row],[Quantity]] * Sales_Data[[#This Row],[Price]]</f>
        <v>3454.36</v>
      </c>
      <c r="K137" t="str">
        <f>TEXT(Sales_Data[[#This Row],[Order Date]],"MMM")</f>
        <v>Jun</v>
      </c>
      <c r="L137">
        <f>YEAR(Sales_Data[[#This Row],[Order Date]])</f>
        <v>2023</v>
      </c>
    </row>
    <row r="138" spans="1:12">
      <c r="A138" t="s">
        <v>359</v>
      </c>
      <c r="B138" s="1" t="s">
        <v>360</v>
      </c>
      <c r="C138" t="s">
        <v>361</v>
      </c>
      <c r="D138" t="s">
        <v>35</v>
      </c>
      <c r="E138" t="s">
        <v>13</v>
      </c>
      <c r="F138">
        <v>4</v>
      </c>
      <c r="G138">
        <v>295.98</v>
      </c>
      <c r="H138">
        <v>1183.92</v>
      </c>
      <c r="I138" t="s">
        <v>23</v>
      </c>
      <c r="J138">
        <f xml:space="preserve"> Sales_Data[[#This Row],[Quantity]] * Sales_Data[[#This Row],[Price]]</f>
        <v>1183.92</v>
      </c>
      <c r="K138" t="str">
        <f>TEXT(Sales_Data[[#This Row],[Order Date]],"MMM")</f>
        <v>Sept</v>
      </c>
      <c r="L138">
        <f>YEAR(Sales_Data[[#This Row],[Order Date]])</f>
        <v>2023</v>
      </c>
    </row>
    <row r="139" spans="1:12">
      <c r="A139" t="s">
        <v>362</v>
      </c>
      <c r="B139" s="1" t="s">
        <v>318</v>
      </c>
      <c r="C139" t="s">
        <v>169</v>
      </c>
      <c r="D139" t="s">
        <v>18</v>
      </c>
      <c r="E139" t="s">
        <v>19</v>
      </c>
      <c r="F139">
        <v>2</v>
      </c>
      <c r="G139">
        <v>440.01</v>
      </c>
      <c r="H139">
        <v>880.02</v>
      </c>
      <c r="I139" t="s">
        <v>14</v>
      </c>
      <c r="J139">
        <f xml:space="preserve"> Sales_Data[[#This Row],[Quantity]] * Sales_Data[[#This Row],[Price]]</f>
        <v>880.02</v>
      </c>
      <c r="K139" t="str">
        <f>TEXT(Sales_Data[[#This Row],[Order Date]],"MMM")</f>
        <v>Mar</v>
      </c>
      <c r="L139">
        <f>YEAR(Sales_Data[[#This Row],[Order Date]])</f>
        <v>2023</v>
      </c>
    </row>
    <row r="140" spans="1:12">
      <c r="A140" t="s">
        <v>363</v>
      </c>
      <c r="B140" s="1" t="s">
        <v>364</v>
      </c>
      <c r="C140" t="s">
        <v>365</v>
      </c>
      <c r="D140" t="s">
        <v>30</v>
      </c>
      <c r="E140" t="s">
        <v>19</v>
      </c>
      <c r="F140">
        <v>5</v>
      </c>
      <c r="G140">
        <v>958.94</v>
      </c>
      <c r="H140">
        <v>4794.7</v>
      </c>
      <c r="I140" t="s">
        <v>31</v>
      </c>
      <c r="J140">
        <f xml:space="preserve"> Sales_Data[[#This Row],[Quantity]] * Sales_Data[[#This Row],[Price]]</f>
        <v>4794.7000000000007</v>
      </c>
      <c r="K140" t="str">
        <f>TEXT(Sales_Data[[#This Row],[Order Date]],"MMM")</f>
        <v>Nov</v>
      </c>
      <c r="L140">
        <f>YEAR(Sales_Data[[#This Row],[Order Date]])</f>
        <v>2023</v>
      </c>
    </row>
    <row r="141" spans="1:12">
      <c r="A141" t="s">
        <v>366</v>
      </c>
      <c r="B141" s="1" t="s">
        <v>367</v>
      </c>
      <c r="C141" t="s">
        <v>368</v>
      </c>
      <c r="D141" t="s">
        <v>35</v>
      </c>
      <c r="E141" t="s">
        <v>13</v>
      </c>
      <c r="F141">
        <v>5</v>
      </c>
      <c r="G141">
        <v>1569.49</v>
      </c>
      <c r="H141">
        <v>7847.45</v>
      </c>
      <c r="I141" t="s">
        <v>14</v>
      </c>
      <c r="J141">
        <f xml:space="preserve"> Sales_Data[[#This Row],[Quantity]] * Sales_Data[[#This Row],[Price]]</f>
        <v>7847.45</v>
      </c>
      <c r="K141" t="str">
        <f>TEXT(Sales_Data[[#This Row],[Order Date]],"MMM")</f>
        <v>Jan</v>
      </c>
      <c r="L141">
        <f>YEAR(Sales_Data[[#This Row],[Order Date]])</f>
        <v>2023</v>
      </c>
    </row>
    <row r="142" spans="1:12">
      <c r="A142" t="s">
        <v>369</v>
      </c>
      <c r="B142" s="1" t="s">
        <v>370</v>
      </c>
      <c r="C142" t="s">
        <v>371</v>
      </c>
      <c r="D142" t="s">
        <v>12</v>
      </c>
      <c r="E142" t="s">
        <v>13</v>
      </c>
      <c r="F142">
        <v>4</v>
      </c>
      <c r="G142">
        <v>53.44</v>
      </c>
      <c r="H142">
        <v>213.76</v>
      </c>
      <c r="I142" t="s">
        <v>23</v>
      </c>
      <c r="J142">
        <f xml:space="preserve"> Sales_Data[[#This Row],[Quantity]] * Sales_Data[[#This Row],[Price]]</f>
        <v>213.76</v>
      </c>
      <c r="K142" t="str">
        <f>TEXT(Sales_Data[[#This Row],[Order Date]],"MMM")</f>
        <v>Dec</v>
      </c>
      <c r="L142">
        <f>YEAR(Sales_Data[[#This Row],[Order Date]])</f>
        <v>2023</v>
      </c>
    </row>
    <row r="143" spans="1:12">
      <c r="A143" t="s">
        <v>372</v>
      </c>
      <c r="B143" s="1" t="s">
        <v>240</v>
      </c>
      <c r="C143" t="s">
        <v>290</v>
      </c>
      <c r="D143" t="s">
        <v>51</v>
      </c>
      <c r="E143" t="s">
        <v>52</v>
      </c>
      <c r="F143">
        <v>3</v>
      </c>
      <c r="G143">
        <v>724.11</v>
      </c>
      <c r="H143">
        <v>2172.33</v>
      </c>
      <c r="I143" t="s">
        <v>31</v>
      </c>
      <c r="J143">
        <f xml:space="preserve"> Sales_Data[[#This Row],[Quantity]] * Sales_Data[[#This Row],[Price]]</f>
        <v>2172.33</v>
      </c>
      <c r="K143" t="str">
        <f>TEXT(Sales_Data[[#This Row],[Order Date]],"MMM")</f>
        <v>Mar</v>
      </c>
      <c r="L143">
        <f>YEAR(Sales_Data[[#This Row],[Order Date]])</f>
        <v>2023</v>
      </c>
    </row>
    <row r="144" spans="1:12">
      <c r="A144" t="s">
        <v>373</v>
      </c>
      <c r="B144" s="1" t="s">
        <v>374</v>
      </c>
      <c r="C144" t="s">
        <v>201</v>
      </c>
      <c r="D144" t="s">
        <v>12</v>
      </c>
      <c r="E144" t="s">
        <v>13</v>
      </c>
      <c r="F144">
        <v>2</v>
      </c>
      <c r="G144">
        <v>63.31</v>
      </c>
      <c r="H144">
        <v>126.62</v>
      </c>
      <c r="I144" t="s">
        <v>31</v>
      </c>
      <c r="J144">
        <f xml:space="preserve"> Sales_Data[[#This Row],[Quantity]] * Sales_Data[[#This Row],[Price]]</f>
        <v>126.62</v>
      </c>
      <c r="K144" t="str">
        <f>TEXT(Sales_Data[[#This Row],[Order Date]],"MMM")</f>
        <v>Dec</v>
      </c>
      <c r="L144">
        <f>YEAR(Sales_Data[[#This Row],[Order Date]])</f>
        <v>2023</v>
      </c>
    </row>
    <row r="145" spans="1:12">
      <c r="A145" t="s">
        <v>375</v>
      </c>
      <c r="B145" s="1" t="s">
        <v>129</v>
      </c>
      <c r="C145" t="s">
        <v>297</v>
      </c>
      <c r="D145" t="s">
        <v>12</v>
      </c>
      <c r="E145" t="s">
        <v>13</v>
      </c>
      <c r="F145">
        <v>2</v>
      </c>
      <c r="G145">
        <v>927.7</v>
      </c>
      <c r="H145">
        <v>1855.4</v>
      </c>
      <c r="I145" t="s">
        <v>23</v>
      </c>
      <c r="J145">
        <f xml:space="preserve"> Sales_Data[[#This Row],[Quantity]] * Sales_Data[[#This Row],[Price]]</f>
        <v>1855.4</v>
      </c>
      <c r="K145" t="str">
        <f>TEXT(Sales_Data[[#This Row],[Order Date]],"MMM")</f>
        <v>Oct</v>
      </c>
      <c r="L145">
        <f>YEAR(Sales_Data[[#This Row],[Order Date]])</f>
        <v>2023</v>
      </c>
    </row>
    <row r="146" spans="1:12">
      <c r="A146" t="s">
        <v>376</v>
      </c>
      <c r="B146" s="1" t="s">
        <v>377</v>
      </c>
      <c r="C146" t="s">
        <v>378</v>
      </c>
      <c r="D146" t="s">
        <v>79</v>
      </c>
      <c r="E146" t="s">
        <v>52</v>
      </c>
      <c r="F146">
        <v>5</v>
      </c>
      <c r="G146">
        <v>412</v>
      </c>
      <c r="H146">
        <v>2060</v>
      </c>
      <c r="I146" t="s">
        <v>31</v>
      </c>
      <c r="J146">
        <f xml:space="preserve"> Sales_Data[[#This Row],[Quantity]] * Sales_Data[[#This Row],[Price]]</f>
        <v>2060</v>
      </c>
      <c r="K146" t="str">
        <f>TEXT(Sales_Data[[#This Row],[Order Date]],"MMM")</f>
        <v>May</v>
      </c>
      <c r="L146">
        <f>YEAR(Sales_Data[[#This Row],[Order Date]])</f>
        <v>2023</v>
      </c>
    </row>
    <row r="147" spans="1:12">
      <c r="A147" t="s">
        <v>379</v>
      </c>
      <c r="B147" s="1" t="s">
        <v>380</v>
      </c>
      <c r="C147" t="s">
        <v>210</v>
      </c>
      <c r="D147" t="s">
        <v>30</v>
      </c>
      <c r="E147" t="s">
        <v>19</v>
      </c>
      <c r="F147">
        <v>2</v>
      </c>
      <c r="G147">
        <v>1139.4100000000001</v>
      </c>
      <c r="H147">
        <v>2278.8200000000002</v>
      </c>
      <c r="I147" t="s">
        <v>47</v>
      </c>
      <c r="J147">
        <f xml:space="preserve"> Sales_Data[[#This Row],[Quantity]] * Sales_Data[[#This Row],[Price]]</f>
        <v>2278.8200000000002</v>
      </c>
      <c r="K147" t="str">
        <f>TEXT(Sales_Data[[#This Row],[Order Date]],"MMM")</f>
        <v>Jun</v>
      </c>
      <c r="L147">
        <f>YEAR(Sales_Data[[#This Row],[Order Date]])</f>
        <v>2023</v>
      </c>
    </row>
    <row r="148" spans="1:12">
      <c r="A148" t="s">
        <v>381</v>
      </c>
      <c r="B148" s="1" t="s">
        <v>115</v>
      </c>
      <c r="C148" t="s">
        <v>55</v>
      </c>
      <c r="D148" t="s">
        <v>30</v>
      </c>
      <c r="E148" t="s">
        <v>19</v>
      </c>
      <c r="F148">
        <v>3</v>
      </c>
      <c r="G148">
        <v>1602.53</v>
      </c>
      <c r="H148">
        <v>4807.59</v>
      </c>
      <c r="I148" t="s">
        <v>47</v>
      </c>
      <c r="J148">
        <f xml:space="preserve"> Sales_Data[[#This Row],[Quantity]] * Sales_Data[[#This Row],[Price]]</f>
        <v>4807.59</v>
      </c>
      <c r="K148" t="str">
        <f>TEXT(Sales_Data[[#This Row],[Order Date]],"MMM")</f>
        <v>Mar</v>
      </c>
      <c r="L148">
        <f>YEAR(Sales_Data[[#This Row],[Order Date]])</f>
        <v>2023</v>
      </c>
    </row>
    <row r="149" spans="1:12">
      <c r="A149" t="s">
        <v>382</v>
      </c>
      <c r="B149" s="1" t="s">
        <v>194</v>
      </c>
      <c r="C149" t="s">
        <v>358</v>
      </c>
      <c r="D149" t="s">
        <v>30</v>
      </c>
      <c r="E149" t="s">
        <v>19</v>
      </c>
      <c r="F149">
        <v>5</v>
      </c>
      <c r="G149">
        <v>74.709999999999994</v>
      </c>
      <c r="H149">
        <v>373.55</v>
      </c>
      <c r="I149" t="s">
        <v>14</v>
      </c>
      <c r="J149">
        <f xml:space="preserve"> Sales_Data[[#This Row],[Quantity]] * Sales_Data[[#This Row],[Price]]</f>
        <v>373.54999999999995</v>
      </c>
      <c r="K149" t="str">
        <f>TEXT(Sales_Data[[#This Row],[Order Date]],"MMM")</f>
        <v>Aug</v>
      </c>
      <c r="L149">
        <f>YEAR(Sales_Data[[#This Row],[Order Date]])</f>
        <v>2023</v>
      </c>
    </row>
    <row r="150" spans="1:12">
      <c r="A150" t="s">
        <v>383</v>
      </c>
      <c r="B150" s="1" t="s">
        <v>315</v>
      </c>
      <c r="C150" t="s">
        <v>17</v>
      </c>
      <c r="D150" t="s">
        <v>39</v>
      </c>
      <c r="E150" t="s">
        <v>40</v>
      </c>
      <c r="F150">
        <v>5</v>
      </c>
      <c r="G150">
        <v>445.94</v>
      </c>
      <c r="H150">
        <v>2229.6999999999998</v>
      </c>
      <c r="I150" t="s">
        <v>23</v>
      </c>
      <c r="J150">
        <f xml:space="preserve"> Sales_Data[[#This Row],[Quantity]] * Sales_Data[[#This Row],[Price]]</f>
        <v>2229.6999999999998</v>
      </c>
      <c r="K150" t="str">
        <f>TEXT(Sales_Data[[#This Row],[Order Date]],"MMM")</f>
        <v>Apr</v>
      </c>
      <c r="L150">
        <f>YEAR(Sales_Data[[#This Row],[Order Date]])</f>
        <v>2023</v>
      </c>
    </row>
    <row r="151" spans="1:12">
      <c r="A151" t="s">
        <v>384</v>
      </c>
      <c r="B151" s="1" t="s">
        <v>385</v>
      </c>
      <c r="C151" t="s">
        <v>386</v>
      </c>
      <c r="D151" t="s">
        <v>35</v>
      </c>
      <c r="E151" t="s">
        <v>13</v>
      </c>
      <c r="F151">
        <v>4</v>
      </c>
      <c r="G151">
        <v>1459.68</v>
      </c>
      <c r="H151">
        <v>5838.72</v>
      </c>
      <c r="I151" t="s">
        <v>31</v>
      </c>
      <c r="J151">
        <f xml:space="preserve"> Sales_Data[[#This Row],[Quantity]] * Sales_Data[[#This Row],[Price]]</f>
        <v>5838.72</v>
      </c>
      <c r="K151" t="str">
        <f>TEXT(Sales_Data[[#This Row],[Order Date]],"MMM")</f>
        <v>Dec</v>
      </c>
      <c r="L151">
        <f>YEAR(Sales_Data[[#This Row],[Order Date]])</f>
        <v>2023</v>
      </c>
    </row>
    <row r="152" spans="1:12">
      <c r="A152" t="s">
        <v>387</v>
      </c>
      <c r="B152" s="1" t="s">
        <v>388</v>
      </c>
      <c r="C152" t="s">
        <v>228</v>
      </c>
      <c r="D152" t="s">
        <v>39</v>
      </c>
      <c r="E152" t="s">
        <v>40</v>
      </c>
      <c r="F152">
        <v>1</v>
      </c>
      <c r="G152">
        <v>79.83</v>
      </c>
      <c r="H152">
        <v>79.83</v>
      </c>
      <c r="I152" t="s">
        <v>14</v>
      </c>
      <c r="J152">
        <f xml:space="preserve"> Sales_Data[[#This Row],[Quantity]] * Sales_Data[[#This Row],[Price]]</f>
        <v>79.83</v>
      </c>
      <c r="K152" t="str">
        <f>TEXT(Sales_Data[[#This Row],[Order Date]],"MMM")</f>
        <v>Jun</v>
      </c>
      <c r="L152">
        <f>YEAR(Sales_Data[[#This Row],[Order Date]])</f>
        <v>2023</v>
      </c>
    </row>
    <row r="153" spans="1:12">
      <c r="A153" t="s">
        <v>389</v>
      </c>
      <c r="B153" s="1" t="s">
        <v>390</v>
      </c>
      <c r="C153" t="s">
        <v>316</v>
      </c>
      <c r="D153" t="s">
        <v>12</v>
      </c>
      <c r="E153" t="s">
        <v>13</v>
      </c>
      <c r="F153">
        <v>1</v>
      </c>
      <c r="G153">
        <v>181.16</v>
      </c>
      <c r="H153">
        <v>181.16</v>
      </c>
      <c r="I153" t="s">
        <v>47</v>
      </c>
      <c r="J153">
        <f xml:space="preserve"> Sales_Data[[#This Row],[Quantity]] * Sales_Data[[#This Row],[Price]]</f>
        <v>181.16</v>
      </c>
      <c r="K153" t="str">
        <f>TEXT(Sales_Data[[#This Row],[Order Date]],"MMM")</f>
        <v>Sept</v>
      </c>
      <c r="L153">
        <f>YEAR(Sales_Data[[#This Row],[Order Date]])</f>
        <v>2023</v>
      </c>
    </row>
    <row r="154" spans="1:12">
      <c r="A154" t="s">
        <v>391</v>
      </c>
      <c r="B154" s="1" t="s">
        <v>200</v>
      </c>
      <c r="C154" t="s">
        <v>183</v>
      </c>
      <c r="D154" t="s">
        <v>35</v>
      </c>
      <c r="E154" t="s">
        <v>13</v>
      </c>
      <c r="F154">
        <v>5</v>
      </c>
      <c r="G154">
        <v>576.88</v>
      </c>
      <c r="H154">
        <v>2884.4</v>
      </c>
      <c r="I154" t="s">
        <v>47</v>
      </c>
      <c r="J154">
        <f xml:space="preserve"> Sales_Data[[#This Row],[Quantity]] * Sales_Data[[#This Row],[Price]]</f>
        <v>2884.4</v>
      </c>
      <c r="K154" t="str">
        <f>TEXT(Sales_Data[[#This Row],[Order Date]],"MMM")</f>
        <v>Sept</v>
      </c>
      <c r="L154">
        <f>YEAR(Sales_Data[[#This Row],[Order Date]])</f>
        <v>2023</v>
      </c>
    </row>
    <row r="155" spans="1:12">
      <c r="A155" t="s">
        <v>392</v>
      </c>
      <c r="B155" s="1" t="s">
        <v>393</v>
      </c>
      <c r="C155" t="s">
        <v>394</v>
      </c>
      <c r="D155" t="s">
        <v>59</v>
      </c>
      <c r="E155" t="s">
        <v>40</v>
      </c>
      <c r="F155">
        <v>1</v>
      </c>
      <c r="G155">
        <v>722.26</v>
      </c>
      <c r="H155">
        <v>722.26</v>
      </c>
      <c r="I155" t="s">
        <v>31</v>
      </c>
      <c r="J155">
        <f xml:space="preserve"> Sales_Data[[#This Row],[Quantity]] * Sales_Data[[#This Row],[Price]]</f>
        <v>722.26</v>
      </c>
      <c r="K155" t="str">
        <f>TEXT(Sales_Data[[#This Row],[Order Date]],"MMM")</f>
        <v>Sept</v>
      </c>
      <c r="L155">
        <f>YEAR(Sales_Data[[#This Row],[Order Date]])</f>
        <v>2023</v>
      </c>
    </row>
    <row r="156" spans="1:12">
      <c r="A156" t="s">
        <v>395</v>
      </c>
      <c r="B156" s="1" t="s">
        <v>396</v>
      </c>
      <c r="C156" t="s">
        <v>340</v>
      </c>
      <c r="D156" t="s">
        <v>12</v>
      </c>
      <c r="E156" t="s">
        <v>13</v>
      </c>
      <c r="F156">
        <v>1</v>
      </c>
      <c r="G156">
        <v>1460.01</v>
      </c>
      <c r="H156">
        <v>1460.01</v>
      </c>
      <c r="I156" t="s">
        <v>47</v>
      </c>
      <c r="J156">
        <f xml:space="preserve"> Sales_Data[[#This Row],[Quantity]] * Sales_Data[[#This Row],[Price]]</f>
        <v>1460.01</v>
      </c>
      <c r="K156" t="str">
        <f>TEXT(Sales_Data[[#This Row],[Order Date]],"MMM")</f>
        <v>Mar</v>
      </c>
      <c r="L156">
        <f>YEAR(Sales_Data[[#This Row],[Order Date]])</f>
        <v>2023</v>
      </c>
    </row>
    <row r="157" spans="1:12">
      <c r="A157" t="s">
        <v>397</v>
      </c>
      <c r="B157" s="1" t="s">
        <v>77</v>
      </c>
      <c r="C157" t="s">
        <v>102</v>
      </c>
      <c r="D157" t="s">
        <v>59</v>
      </c>
      <c r="E157" t="s">
        <v>40</v>
      </c>
      <c r="F157">
        <v>5</v>
      </c>
      <c r="G157">
        <v>808.16</v>
      </c>
      <c r="H157">
        <v>4040.8</v>
      </c>
      <c r="I157" t="s">
        <v>23</v>
      </c>
      <c r="J157">
        <f xml:space="preserve"> Sales_Data[[#This Row],[Quantity]] * Sales_Data[[#This Row],[Price]]</f>
        <v>4040.7999999999997</v>
      </c>
      <c r="K157" t="str">
        <f>TEXT(Sales_Data[[#This Row],[Order Date]],"MMM")</f>
        <v>Feb</v>
      </c>
      <c r="L157">
        <f>YEAR(Sales_Data[[#This Row],[Order Date]])</f>
        <v>2023</v>
      </c>
    </row>
    <row r="158" spans="1:12">
      <c r="A158" t="s">
        <v>398</v>
      </c>
      <c r="B158" s="1" t="s">
        <v>399</v>
      </c>
      <c r="C158" t="s">
        <v>290</v>
      </c>
      <c r="D158" t="s">
        <v>51</v>
      </c>
      <c r="E158" t="s">
        <v>52</v>
      </c>
      <c r="F158">
        <v>5</v>
      </c>
      <c r="G158">
        <v>1158.5999999999999</v>
      </c>
      <c r="H158">
        <v>5793</v>
      </c>
      <c r="I158" t="s">
        <v>23</v>
      </c>
      <c r="J158">
        <f xml:space="preserve"> Sales_Data[[#This Row],[Quantity]] * Sales_Data[[#This Row],[Price]]</f>
        <v>5793</v>
      </c>
      <c r="K158" t="str">
        <f>TEXT(Sales_Data[[#This Row],[Order Date]],"MMM")</f>
        <v>Aug</v>
      </c>
      <c r="L158">
        <f>YEAR(Sales_Data[[#This Row],[Order Date]])</f>
        <v>2023</v>
      </c>
    </row>
    <row r="159" spans="1:12">
      <c r="A159" t="s">
        <v>400</v>
      </c>
      <c r="B159" s="1" t="s">
        <v>117</v>
      </c>
      <c r="C159" t="s">
        <v>102</v>
      </c>
      <c r="D159" t="s">
        <v>79</v>
      </c>
      <c r="E159" t="s">
        <v>52</v>
      </c>
      <c r="F159">
        <v>4</v>
      </c>
      <c r="G159">
        <v>1477.46</v>
      </c>
      <c r="H159">
        <v>5909.84</v>
      </c>
      <c r="I159" t="s">
        <v>31</v>
      </c>
      <c r="J159">
        <f xml:space="preserve"> Sales_Data[[#This Row],[Quantity]] * Sales_Data[[#This Row],[Price]]</f>
        <v>5909.84</v>
      </c>
      <c r="K159" t="str">
        <f>TEXT(Sales_Data[[#This Row],[Order Date]],"MMM")</f>
        <v>Feb</v>
      </c>
      <c r="L159">
        <f>YEAR(Sales_Data[[#This Row],[Order Date]])</f>
        <v>2023</v>
      </c>
    </row>
    <row r="160" spans="1:12">
      <c r="A160" t="s">
        <v>401</v>
      </c>
      <c r="B160" s="1" t="s">
        <v>402</v>
      </c>
      <c r="C160" t="s">
        <v>403</v>
      </c>
      <c r="D160" t="s">
        <v>30</v>
      </c>
      <c r="E160" t="s">
        <v>19</v>
      </c>
      <c r="F160">
        <v>5</v>
      </c>
      <c r="G160">
        <v>1557.93</v>
      </c>
      <c r="H160">
        <v>7789.65</v>
      </c>
      <c r="I160" t="s">
        <v>23</v>
      </c>
      <c r="J160">
        <f xml:space="preserve"> Sales_Data[[#This Row],[Quantity]] * Sales_Data[[#This Row],[Price]]</f>
        <v>7789.6500000000005</v>
      </c>
      <c r="K160" t="str">
        <f>TEXT(Sales_Data[[#This Row],[Order Date]],"MMM")</f>
        <v>Sept</v>
      </c>
      <c r="L160">
        <f>YEAR(Sales_Data[[#This Row],[Order Date]])</f>
        <v>2023</v>
      </c>
    </row>
    <row r="161" spans="1:12">
      <c r="A161" t="s">
        <v>404</v>
      </c>
      <c r="B161" s="1" t="s">
        <v>405</v>
      </c>
      <c r="C161" t="s">
        <v>403</v>
      </c>
      <c r="D161" t="s">
        <v>18</v>
      </c>
      <c r="E161" t="s">
        <v>19</v>
      </c>
      <c r="F161">
        <v>2</v>
      </c>
      <c r="G161">
        <v>1600.97</v>
      </c>
      <c r="H161">
        <v>3201.94</v>
      </c>
      <c r="I161" t="s">
        <v>31</v>
      </c>
      <c r="J161">
        <f xml:space="preserve"> Sales_Data[[#This Row],[Quantity]] * Sales_Data[[#This Row],[Price]]</f>
        <v>3201.94</v>
      </c>
      <c r="K161" t="str">
        <f>TEXT(Sales_Data[[#This Row],[Order Date]],"MMM")</f>
        <v>Oct</v>
      </c>
      <c r="L161">
        <f>YEAR(Sales_Data[[#This Row],[Order Date]])</f>
        <v>2023</v>
      </c>
    </row>
    <row r="162" spans="1:12">
      <c r="A162" t="s">
        <v>406</v>
      </c>
      <c r="B162" s="1" t="s">
        <v>223</v>
      </c>
      <c r="C162" t="s">
        <v>38</v>
      </c>
      <c r="D162" t="s">
        <v>110</v>
      </c>
      <c r="E162" t="s">
        <v>52</v>
      </c>
      <c r="F162">
        <v>3</v>
      </c>
      <c r="G162">
        <v>419.39</v>
      </c>
      <c r="H162">
        <v>1258.17</v>
      </c>
      <c r="I162" t="s">
        <v>23</v>
      </c>
      <c r="J162">
        <f xml:space="preserve"> Sales_Data[[#This Row],[Quantity]] * Sales_Data[[#This Row],[Price]]</f>
        <v>1258.17</v>
      </c>
      <c r="K162" t="str">
        <f>TEXT(Sales_Data[[#This Row],[Order Date]],"MMM")</f>
        <v>Dec</v>
      </c>
      <c r="L162">
        <f>YEAR(Sales_Data[[#This Row],[Order Date]])</f>
        <v>2023</v>
      </c>
    </row>
    <row r="163" spans="1:12">
      <c r="A163" t="s">
        <v>407</v>
      </c>
      <c r="B163" s="1" t="s">
        <v>331</v>
      </c>
      <c r="C163" t="s">
        <v>408</v>
      </c>
      <c r="D163" t="s">
        <v>51</v>
      </c>
      <c r="E163" t="s">
        <v>52</v>
      </c>
      <c r="F163">
        <v>4</v>
      </c>
      <c r="G163">
        <v>1377.69</v>
      </c>
      <c r="H163">
        <v>5510.76</v>
      </c>
      <c r="I163" t="s">
        <v>14</v>
      </c>
      <c r="J163">
        <f xml:space="preserve"> Sales_Data[[#This Row],[Quantity]] * Sales_Data[[#This Row],[Price]]</f>
        <v>5510.76</v>
      </c>
      <c r="K163" t="str">
        <f>TEXT(Sales_Data[[#This Row],[Order Date]],"MMM")</f>
        <v>Sept</v>
      </c>
      <c r="L163">
        <f>YEAR(Sales_Data[[#This Row],[Order Date]])</f>
        <v>2023</v>
      </c>
    </row>
    <row r="164" spans="1:12">
      <c r="A164" t="s">
        <v>409</v>
      </c>
      <c r="B164" s="1" t="s">
        <v>81</v>
      </c>
      <c r="C164" t="s">
        <v>11</v>
      </c>
      <c r="D164" t="s">
        <v>39</v>
      </c>
      <c r="E164" t="s">
        <v>40</v>
      </c>
      <c r="F164">
        <v>2</v>
      </c>
      <c r="G164">
        <v>1618.72</v>
      </c>
      <c r="H164">
        <v>3237.44</v>
      </c>
      <c r="I164" t="s">
        <v>47</v>
      </c>
      <c r="J164">
        <f xml:space="preserve"> Sales_Data[[#This Row],[Quantity]] * Sales_Data[[#This Row],[Price]]</f>
        <v>3237.44</v>
      </c>
      <c r="K164" t="str">
        <f>TEXT(Sales_Data[[#This Row],[Order Date]],"MMM")</f>
        <v>Jan</v>
      </c>
      <c r="L164">
        <f>YEAR(Sales_Data[[#This Row],[Order Date]])</f>
        <v>2023</v>
      </c>
    </row>
    <row r="165" spans="1:12">
      <c r="A165" t="s">
        <v>410</v>
      </c>
      <c r="B165" s="1" t="s">
        <v>339</v>
      </c>
      <c r="C165" t="s">
        <v>411</v>
      </c>
      <c r="D165" t="s">
        <v>30</v>
      </c>
      <c r="E165" t="s">
        <v>19</v>
      </c>
      <c r="F165">
        <v>3</v>
      </c>
      <c r="G165">
        <v>1988.7</v>
      </c>
      <c r="H165">
        <v>5966.1</v>
      </c>
      <c r="I165" t="s">
        <v>47</v>
      </c>
      <c r="J165">
        <f xml:space="preserve"> Sales_Data[[#This Row],[Quantity]] * Sales_Data[[#This Row],[Price]]</f>
        <v>5966.1</v>
      </c>
      <c r="K165" t="str">
        <f>TEXT(Sales_Data[[#This Row],[Order Date]],"MMM")</f>
        <v>Apr</v>
      </c>
      <c r="L165">
        <f>YEAR(Sales_Data[[#This Row],[Order Date]])</f>
        <v>2023</v>
      </c>
    </row>
    <row r="166" spans="1:12">
      <c r="A166" t="s">
        <v>412</v>
      </c>
      <c r="B166" s="1" t="s">
        <v>413</v>
      </c>
      <c r="C166" t="s">
        <v>414</v>
      </c>
      <c r="D166" t="s">
        <v>51</v>
      </c>
      <c r="E166" t="s">
        <v>52</v>
      </c>
      <c r="F166">
        <v>3</v>
      </c>
      <c r="G166">
        <v>1926.08</v>
      </c>
      <c r="H166">
        <v>5778.24</v>
      </c>
      <c r="I166" t="s">
        <v>47</v>
      </c>
      <c r="J166">
        <f xml:space="preserve"> Sales_Data[[#This Row],[Quantity]] * Sales_Data[[#This Row],[Price]]</f>
        <v>5778.24</v>
      </c>
      <c r="K166" t="str">
        <f>TEXT(Sales_Data[[#This Row],[Order Date]],"MMM")</f>
        <v>Sept</v>
      </c>
      <c r="L166">
        <f>YEAR(Sales_Data[[#This Row],[Order Date]])</f>
        <v>2023</v>
      </c>
    </row>
    <row r="167" spans="1:12">
      <c r="A167" t="s">
        <v>415</v>
      </c>
      <c r="B167" s="1" t="s">
        <v>416</v>
      </c>
      <c r="C167" t="s">
        <v>73</v>
      </c>
      <c r="D167" t="s">
        <v>51</v>
      </c>
      <c r="E167" t="s">
        <v>52</v>
      </c>
      <c r="F167">
        <v>3</v>
      </c>
      <c r="G167">
        <v>132.04</v>
      </c>
      <c r="H167">
        <v>396.12</v>
      </c>
      <c r="I167" t="s">
        <v>31</v>
      </c>
      <c r="J167">
        <f xml:space="preserve"> Sales_Data[[#This Row],[Quantity]] * Sales_Data[[#This Row],[Price]]</f>
        <v>396.12</v>
      </c>
      <c r="K167" t="str">
        <f>TEXT(Sales_Data[[#This Row],[Order Date]],"MMM")</f>
        <v>Nov</v>
      </c>
      <c r="L167">
        <f>YEAR(Sales_Data[[#This Row],[Order Date]])</f>
        <v>2023</v>
      </c>
    </row>
    <row r="168" spans="1:12">
      <c r="A168" t="s">
        <v>417</v>
      </c>
      <c r="B168" s="1" t="s">
        <v>418</v>
      </c>
      <c r="C168" t="s">
        <v>371</v>
      </c>
      <c r="D168" t="s">
        <v>79</v>
      </c>
      <c r="E168" t="s">
        <v>52</v>
      </c>
      <c r="F168">
        <v>4</v>
      </c>
      <c r="G168">
        <v>841</v>
      </c>
      <c r="H168">
        <v>3364</v>
      </c>
      <c r="I168" t="s">
        <v>47</v>
      </c>
      <c r="J168">
        <f xml:space="preserve"> Sales_Data[[#This Row],[Quantity]] * Sales_Data[[#This Row],[Price]]</f>
        <v>3364</v>
      </c>
      <c r="K168" t="str">
        <f>TEXT(Sales_Data[[#This Row],[Order Date]],"MMM")</f>
        <v>Feb</v>
      </c>
      <c r="L168">
        <f>YEAR(Sales_Data[[#This Row],[Order Date]])</f>
        <v>2023</v>
      </c>
    </row>
    <row r="169" spans="1:12">
      <c r="A169" t="s">
        <v>419</v>
      </c>
      <c r="B169" s="1" t="s">
        <v>148</v>
      </c>
      <c r="C169" t="s">
        <v>143</v>
      </c>
      <c r="D169" t="s">
        <v>59</v>
      </c>
      <c r="E169" t="s">
        <v>40</v>
      </c>
      <c r="F169">
        <v>2</v>
      </c>
      <c r="G169">
        <v>1421.59</v>
      </c>
      <c r="H169">
        <v>2843.18</v>
      </c>
      <c r="I169" t="s">
        <v>47</v>
      </c>
      <c r="J169">
        <f xml:space="preserve"> Sales_Data[[#This Row],[Quantity]] * Sales_Data[[#This Row],[Price]]</f>
        <v>2843.18</v>
      </c>
      <c r="K169" t="str">
        <f>TEXT(Sales_Data[[#This Row],[Order Date]],"MMM")</f>
        <v>Jan</v>
      </c>
      <c r="L169">
        <f>YEAR(Sales_Data[[#This Row],[Order Date]])</f>
        <v>2023</v>
      </c>
    </row>
    <row r="170" spans="1:12">
      <c r="A170" t="s">
        <v>420</v>
      </c>
      <c r="B170" s="1" t="s">
        <v>37</v>
      </c>
      <c r="C170" t="s">
        <v>68</v>
      </c>
      <c r="D170" t="s">
        <v>30</v>
      </c>
      <c r="E170" t="s">
        <v>19</v>
      </c>
      <c r="F170">
        <v>1</v>
      </c>
      <c r="G170">
        <v>1971.6</v>
      </c>
      <c r="H170">
        <v>1971.6</v>
      </c>
      <c r="I170" t="s">
        <v>14</v>
      </c>
      <c r="J170">
        <f xml:space="preserve"> Sales_Data[[#This Row],[Quantity]] * Sales_Data[[#This Row],[Price]]</f>
        <v>1971.6</v>
      </c>
      <c r="K170" t="str">
        <f>TEXT(Sales_Data[[#This Row],[Order Date]],"MMM")</f>
        <v>Jul</v>
      </c>
      <c r="L170">
        <f>YEAR(Sales_Data[[#This Row],[Order Date]])</f>
        <v>2023</v>
      </c>
    </row>
    <row r="171" spans="1:12">
      <c r="A171" t="s">
        <v>421</v>
      </c>
      <c r="B171" s="1" t="s">
        <v>171</v>
      </c>
      <c r="C171" t="s">
        <v>422</v>
      </c>
      <c r="D171" t="s">
        <v>18</v>
      </c>
      <c r="E171" t="s">
        <v>19</v>
      </c>
      <c r="F171">
        <v>5</v>
      </c>
      <c r="G171">
        <v>768.99</v>
      </c>
      <c r="H171">
        <v>3844.95</v>
      </c>
      <c r="I171" t="s">
        <v>31</v>
      </c>
      <c r="J171">
        <f xml:space="preserve"> Sales_Data[[#This Row],[Quantity]] * Sales_Data[[#This Row],[Price]]</f>
        <v>3844.95</v>
      </c>
      <c r="K171" t="str">
        <f>TEXT(Sales_Data[[#This Row],[Order Date]],"MMM")</f>
        <v>May</v>
      </c>
      <c r="L171">
        <f>YEAR(Sales_Data[[#This Row],[Order Date]])</f>
        <v>2023</v>
      </c>
    </row>
    <row r="172" spans="1:12">
      <c r="A172" t="s">
        <v>423</v>
      </c>
      <c r="B172" s="1" t="s">
        <v>424</v>
      </c>
      <c r="C172" t="s">
        <v>99</v>
      </c>
      <c r="D172" t="s">
        <v>59</v>
      </c>
      <c r="E172" t="s">
        <v>40</v>
      </c>
      <c r="F172">
        <v>2</v>
      </c>
      <c r="G172">
        <v>724.75</v>
      </c>
      <c r="H172">
        <v>1449.5</v>
      </c>
      <c r="I172" t="s">
        <v>47</v>
      </c>
      <c r="J172">
        <f xml:space="preserve"> Sales_Data[[#This Row],[Quantity]] * Sales_Data[[#This Row],[Price]]</f>
        <v>1449.5</v>
      </c>
      <c r="K172" t="str">
        <f>TEXT(Sales_Data[[#This Row],[Order Date]],"MMM")</f>
        <v>Sept</v>
      </c>
      <c r="L172">
        <f>YEAR(Sales_Data[[#This Row],[Order Date]])</f>
        <v>2023</v>
      </c>
    </row>
    <row r="173" spans="1:12">
      <c r="A173" t="s">
        <v>425</v>
      </c>
      <c r="B173" s="1" t="s">
        <v>426</v>
      </c>
      <c r="C173" t="s">
        <v>353</v>
      </c>
      <c r="D173" t="s">
        <v>110</v>
      </c>
      <c r="E173" t="s">
        <v>52</v>
      </c>
      <c r="F173">
        <v>1</v>
      </c>
      <c r="G173">
        <v>1123.8599999999999</v>
      </c>
      <c r="H173">
        <v>1123.8599999999999</v>
      </c>
      <c r="I173" t="s">
        <v>23</v>
      </c>
      <c r="J173">
        <f xml:space="preserve"> Sales_Data[[#This Row],[Quantity]] * Sales_Data[[#This Row],[Price]]</f>
        <v>1123.8599999999999</v>
      </c>
      <c r="K173" t="str">
        <f>TEXT(Sales_Data[[#This Row],[Order Date]],"MMM")</f>
        <v>Aug</v>
      </c>
      <c r="L173">
        <f>YEAR(Sales_Data[[#This Row],[Order Date]])</f>
        <v>2023</v>
      </c>
    </row>
    <row r="174" spans="1:12">
      <c r="A174" t="s">
        <v>427</v>
      </c>
      <c r="B174" s="1" t="s">
        <v>428</v>
      </c>
      <c r="C174" t="s">
        <v>429</v>
      </c>
      <c r="D174" t="s">
        <v>35</v>
      </c>
      <c r="E174" t="s">
        <v>13</v>
      </c>
      <c r="F174">
        <v>1</v>
      </c>
      <c r="G174">
        <v>1389.26</v>
      </c>
      <c r="H174">
        <v>1389.26</v>
      </c>
      <c r="I174" t="s">
        <v>47</v>
      </c>
      <c r="J174">
        <f xml:space="preserve"> Sales_Data[[#This Row],[Quantity]] * Sales_Data[[#This Row],[Price]]</f>
        <v>1389.26</v>
      </c>
      <c r="K174" t="str">
        <f>TEXT(Sales_Data[[#This Row],[Order Date]],"MMM")</f>
        <v>Apr</v>
      </c>
      <c r="L174">
        <f>YEAR(Sales_Data[[#This Row],[Order Date]])</f>
        <v>2023</v>
      </c>
    </row>
    <row r="175" spans="1:12">
      <c r="A175" t="s">
        <v>430</v>
      </c>
      <c r="B175" s="1" t="s">
        <v>431</v>
      </c>
      <c r="C175" t="s">
        <v>345</v>
      </c>
      <c r="D175" t="s">
        <v>39</v>
      </c>
      <c r="E175" t="s">
        <v>40</v>
      </c>
      <c r="F175">
        <v>2</v>
      </c>
      <c r="G175">
        <v>176.37</v>
      </c>
      <c r="H175">
        <v>352.74</v>
      </c>
      <c r="I175" t="s">
        <v>14</v>
      </c>
      <c r="J175">
        <f xml:space="preserve"> Sales_Data[[#This Row],[Quantity]] * Sales_Data[[#This Row],[Price]]</f>
        <v>352.74</v>
      </c>
      <c r="K175" t="str">
        <f>TEXT(Sales_Data[[#This Row],[Order Date]],"MMM")</f>
        <v>Nov</v>
      </c>
      <c r="L175">
        <f>YEAR(Sales_Data[[#This Row],[Order Date]])</f>
        <v>2023</v>
      </c>
    </row>
    <row r="176" spans="1:12">
      <c r="A176" t="s">
        <v>432</v>
      </c>
      <c r="B176" s="1" t="s">
        <v>433</v>
      </c>
      <c r="C176" t="s">
        <v>378</v>
      </c>
      <c r="D176" t="s">
        <v>18</v>
      </c>
      <c r="E176" t="s">
        <v>19</v>
      </c>
      <c r="F176">
        <v>5</v>
      </c>
      <c r="G176">
        <v>649.88</v>
      </c>
      <c r="H176">
        <v>3249.4</v>
      </c>
      <c r="I176" t="s">
        <v>47</v>
      </c>
      <c r="J176">
        <f xml:space="preserve"> Sales_Data[[#This Row],[Quantity]] * Sales_Data[[#This Row],[Price]]</f>
        <v>3249.4</v>
      </c>
      <c r="K176" t="str">
        <f>TEXT(Sales_Data[[#This Row],[Order Date]],"MMM")</f>
        <v>Sept</v>
      </c>
      <c r="L176">
        <f>YEAR(Sales_Data[[#This Row],[Order Date]])</f>
        <v>2023</v>
      </c>
    </row>
    <row r="177" spans="1:12">
      <c r="A177" t="s">
        <v>434</v>
      </c>
      <c r="B177" s="1" t="s">
        <v>89</v>
      </c>
      <c r="C177" t="s">
        <v>192</v>
      </c>
      <c r="D177" t="s">
        <v>30</v>
      </c>
      <c r="E177" t="s">
        <v>19</v>
      </c>
      <c r="F177">
        <v>3</v>
      </c>
      <c r="G177">
        <v>1511.45</v>
      </c>
      <c r="H177">
        <v>4534.3500000000004</v>
      </c>
      <c r="I177" t="s">
        <v>31</v>
      </c>
      <c r="J177">
        <f xml:space="preserve"> Sales_Data[[#This Row],[Quantity]] * Sales_Data[[#This Row],[Price]]</f>
        <v>4534.3500000000004</v>
      </c>
      <c r="K177" t="str">
        <f>TEXT(Sales_Data[[#This Row],[Order Date]],"MMM")</f>
        <v>Apr</v>
      </c>
      <c r="L177">
        <f>YEAR(Sales_Data[[#This Row],[Order Date]])</f>
        <v>2023</v>
      </c>
    </row>
    <row r="178" spans="1:12">
      <c r="A178" t="s">
        <v>435</v>
      </c>
      <c r="B178" s="1" t="s">
        <v>436</v>
      </c>
      <c r="C178" t="s">
        <v>201</v>
      </c>
      <c r="D178" t="s">
        <v>39</v>
      </c>
      <c r="E178" t="s">
        <v>40</v>
      </c>
      <c r="F178">
        <v>3</v>
      </c>
      <c r="G178">
        <v>553.75</v>
      </c>
      <c r="H178">
        <v>1661.25</v>
      </c>
      <c r="I178" t="s">
        <v>31</v>
      </c>
      <c r="J178">
        <f xml:space="preserve"> Sales_Data[[#This Row],[Quantity]] * Sales_Data[[#This Row],[Price]]</f>
        <v>1661.25</v>
      </c>
      <c r="K178" t="str">
        <f>TEXT(Sales_Data[[#This Row],[Order Date]],"MMM")</f>
        <v>Feb</v>
      </c>
      <c r="L178">
        <f>YEAR(Sales_Data[[#This Row],[Order Date]])</f>
        <v>2023</v>
      </c>
    </row>
    <row r="179" spans="1:12">
      <c r="A179" t="s">
        <v>437</v>
      </c>
      <c r="B179" s="1" t="s">
        <v>438</v>
      </c>
      <c r="C179" t="s">
        <v>22</v>
      </c>
      <c r="D179" t="s">
        <v>12</v>
      </c>
      <c r="E179" t="s">
        <v>13</v>
      </c>
      <c r="F179">
        <v>2</v>
      </c>
      <c r="G179">
        <v>794.06</v>
      </c>
      <c r="H179">
        <v>1588.12</v>
      </c>
      <c r="I179" t="s">
        <v>47</v>
      </c>
      <c r="J179">
        <f xml:space="preserve"> Sales_Data[[#This Row],[Quantity]] * Sales_Data[[#This Row],[Price]]</f>
        <v>1588.12</v>
      </c>
      <c r="K179" t="str">
        <f>TEXT(Sales_Data[[#This Row],[Order Date]],"MMM")</f>
        <v>Jun</v>
      </c>
      <c r="L179">
        <f>YEAR(Sales_Data[[#This Row],[Order Date]])</f>
        <v>2023</v>
      </c>
    </row>
    <row r="180" spans="1:12">
      <c r="A180" t="s">
        <v>439</v>
      </c>
      <c r="B180" s="1" t="s">
        <v>440</v>
      </c>
      <c r="C180" t="s">
        <v>46</v>
      </c>
      <c r="D180" t="s">
        <v>59</v>
      </c>
      <c r="E180" t="s">
        <v>40</v>
      </c>
      <c r="F180">
        <v>2</v>
      </c>
      <c r="G180">
        <v>1710.48</v>
      </c>
      <c r="H180">
        <v>3420.96</v>
      </c>
      <c r="I180" t="s">
        <v>14</v>
      </c>
      <c r="J180">
        <f xml:space="preserve"> Sales_Data[[#This Row],[Quantity]] * Sales_Data[[#This Row],[Price]]</f>
        <v>3420.96</v>
      </c>
      <c r="K180" t="str">
        <f>TEXT(Sales_Data[[#This Row],[Order Date]],"MMM")</f>
        <v>Aug</v>
      </c>
      <c r="L180">
        <f>YEAR(Sales_Data[[#This Row],[Order Date]])</f>
        <v>2023</v>
      </c>
    </row>
    <row r="181" spans="1:12">
      <c r="A181" t="s">
        <v>441</v>
      </c>
      <c r="B181" s="1" t="s">
        <v>253</v>
      </c>
      <c r="C181" t="s">
        <v>22</v>
      </c>
      <c r="D181" t="s">
        <v>39</v>
      </c>
      <c r="E181" t="s">
        <v>40</v>
      </c>
      <c r="F181">
        <v>4</v>
      </c>
      <c r="G181">
        <v>1583.73</v>
      </c>
      <c r="H181">
        <v>6334.92</v>
      </c>
      <c r="I181" t="s">
        <v>14</v>
      </c>
      <c r="J181">
        <f xml:space="preserve"> Sales_Data[[#This Row],[Quantity]] * Sales_Data[[#This Row],[Price]]</f>
        <v>6334.92</v>
      </c>
      <c r="K181" t="str">
        <f>TEXT(Sales_Data[[#This Row],[Order Date]],"MMM")</f>
        <v>Oct</v>
      </c>
      <c r="L181">
        <f>YEAR(Sales_Data[[#This Row],[Order Date]])</f>
        <v>2023</v>
      </c>
    </row>
    <row r="182" spans="1:12">
      <c r="A182" t="s">
        <v>442</v>
      </c>
      <c r="B182" s="1" t="s">
        <v>443</v>
      </c>
      <c r="C182" t="s">
        <v>287</v>
      </c>
      <c r="D182" t="s">
        <v>79</v>
      </c>
      <c r="E182" t="s">
        <v>52</v>
      </c>
      <c r="F182">
        <v>5</v>
      </c>
      <c r="G182">
        <v>656.38</v>
      </c>
      <c r="H182">
        <v>3281.9</v>
      </c>
      <c r="I182" t="s">
        <v>23</v>
      </c>
      <c r="J182">
        <f xml:space="preserve"> Sales_Data[[#This Row],[Quantity]] * Sales_Data[[#This Row],[Price]]</f>
        <v>3281.9</v>
      </c>
      <c r="K182" t="str">
        <f>TEXT(Sales_Data[[#This Row],[Order Date]],"MMM")</f>
        <v>Jan</v>
      </c>
      <c r="L182">
        <f>YEAR(Sales_Data[[#This Row],[Order Date]])</f>
        <v>2023</v>
      </c>
    </row>
    <row r="183" spans="1:12">
      <c r="A183" t="s">
        <v>444</v>
      </c>
      <c r="B183" s="1" t="s">
        <v>388</v>
      </c>
      <c r="C183" t="s">
        <v>102</v>
      </c>
      <c r="D183" t="s">
        <v>35</v>
      </c>
      <c r="E183" t="s">
        <v>13</v>
      </c>
      <c r="F183">
        <v>4</v>
      </c>
      <c r="G183">
        <v>870.33</v>
      </c>
      <c r="H183">
        <v>3481.32</v>
      </c>
      <c r="I183" t="s">
        <v>14</v>
      </c>
      <c r="J183">
        <f xml:space="preserve"> Sales_Data[[#This Row],[Quantity]] * Sales_Data[[#This Row],[Price]]</f>
        <v>3481.32</v>
      </c>
      <c r="K183" t="str">
        <f>TEXT(Sales_Data[[#This Row],[Order Date]],"MMM")</f>
        <v>Jun</v>
      </c>
      <c r="L183">
        <f>YEAR(Sales_Data[[#This Row],[Order Date]])</f>
        <v>2023</v>
      </c>
    </row>
    <row r="184" spans="1:12">
      <c r="A184" t="s">
        <v>445</v>
      </c>
      <c r="B184" s="1" t="s">
        <v>446</v>
      </c>
      <c r="C184" t="s">
        <v>411</v>
      </c>
      <c r="D184" t="s">
        <v>59</v>
      </c>
      <c r="E184" t="s">
        <v>40</v>
      </c>
      <c r="F184">
        <v>5</v>
      </c>
      <c r="G184">
        <v>197.34</v>
      </c>
      <c r="H184">
        <v>986.7</v>
      </c>
      <c r="I184" t="s">
        <v>31</v>
      </c>
      <c r="J184">
        <f xml:space="preserve"> Sales_Data[[#This Row],[Quantity]] * Sales_Data[[#This Row],[Price]]</f>
        <v>986.7</v>
      </c>
      <c r="K184" t="str">
        <f>TEXT(Sales_Data[[#This Row],[Order Date]],"MMM")</f>
        <v>Mar</v>
      </c>
      <c r="L184">
        <f>YEAR(Sales_Data[[#This Row],[Order Date]])</f>
        <v>2023</v>
      </c>
    </row>
    <row r="185" spans="1:12">
      <c r="A185" t="s">
        <v>447</v>
      </c>
      <c r="B185" s="1" t="s">
        <v>448</v>
      </c>
      <c r="C185" t="s">
        <v>449</v>
      </c>
      <c r="D185" t="s">
        <v>18</v>
      </c>
      <c r="E185" t="s">
        <v>19</v>
      </c>
      <c r="F185">
        <v>4</v>
      </c>
      <c r="G185">
        <v>508.69</v>
      </c>
      <c r="H185">
        <v>2034.76</v>
      </c>
      <c r="I185" t="s">
        <v>31</v>
      </c>
      <c r="J185">
        <f xml:space="preserve"> Sales_Data[[#This Row],[Quantity]] * Sales_Data[[#This Row],[Price]]</f>
        <v>2034.76</v>
      </c>
      <c r="K185" t="str">
        <f>TEXT(Sales_Data[[#This Row],[Order Date]],"MMM")</f>
        <v>Sept</v>
      </c>
      <c r="L185">
        <f>YEAR(Sales_Data[[#This Row],[Order Date]])</f>
        <v>2023</v>
      </c>
    </row>
    <row r="186" spans="1:12">
      <c r="A186" t="s">
        <v>450</v>
      </c>
      <c r="B186" s="1" t="s">
        <v>312</v>
      </c>
      <c r="C186" t="s">
        <v>22</v>
      </c>
      <c r="D186" t="s">
        <v>51</v>
      </c>
      <c r="E186" t="s">
        <v>52</v>
      </c>
      <c r="F186">
        <v>1</v>
      </c>
      <c r="G186">
        <v>1148.4000000000001</v>
      </c>
      <c r="H186">
        <v>1148.4000000000001</v>
      </c>
      <c r="I186" t="s">
        <v>31</v>
      </c>
      <c r="J186">
        <f xml:space="preserve"> Sales_Data[[#This Row],[Quantity]] * Sales_Data[[#This Row],[Price]]</f>
        <v>1148.4000000000001</v>
      </c>
      <c r="K186" t="str">
        <f>TEXT(Sales_Data[[#This Row],[Order Date]],"MMM")</f>
        <v>Jul</v>
      </c>
      <c r="L186">
        <f>YEAR(Sales_Data[[#This Row],[Order Date]])</f>
        <v>2023</v>
      </c>
    </row>
    <row r="187" spans="1:12">
      <c r="A187" t="s">
        <v>451</v>
      </c>
      <c r="B187" s="1" t="s">
        <v>452</v>
      </c>
      <c r="C187" t="s">
        <v>345</v>
      </c>
      <c r="D187" t="s">
        <v>18</v>
      </c>
      <c r="E187" t="s">
        <v>19</v>
      </c>
      <c r="F187">
        <v>4</v>
      </c>
      <c r="G187">
        <v>1371.41</v>
      </c>
      <c r="H187">
        <v>5485.64</v>
      </c>
      <c r="I187" t="s">
        <v>47</v>
      </c>
      <c r="J187">
        <f xml:space="preserve"> Sales_Data[[#This Row],[Quantity]] * Sales_Data[[#This Row],[Price]]</f>
        <v>5485.64</v>
      </c>
      <c r="K187" t="str">
        <f>TEXT(Sales_Data[[#This Row],[Order Date]],"MMM")</f>
        <v>Oct</v>
      </c>
      <c r="L187">
        <f>YEAR(Sales_Data[[#This Row],[Order Date]])</f>
        <v>2023</v>
      </c>
    </row>
    <row r="188" spans="1:12">
      <c r="A188" t="s">
        <v>453</v>
      </c>
      <c r="B188" s="1" t="s">
        <v>174</v>
      </c>
      <c r="C188" t="s">
        <v>365</v>
      </c>
      <c r="D188" t="s">
        <v>59</v>
      </c>
      <c r="E188" t="s">
        <v>40</v>
      </c>
      <c r="F188">
        <v>1</v>
      </c>
      <c r="G188">
        <v>1455.45</v>
      </c>
      <c r="H188">
        <v>1455.45</v>
      </c>
      <c r="I188" t="s">
        <v>47</v>
      </c>
      <c r="J188">
        <f xml:space="preserve"> Sales_Data[[#This Row],[Quantity]] * Sales_Data[[#This Row],[Price]]</f>
        <v>1455.45</v>
      </c>
      <c r="K188" t="str">
        <f>TEXT(Sales_Data[[#This Row],[Order Date]],"MMM")</f>
        <v>Jun</v>
      </c>
      <c r="L188">
        <f>YEAR(Sales_Data[[#This Row],[Order Date]])</f>
        <v>2023</v>
      </c>
    </row>
    <row r="189" spans="1:12">
      <c r="A189" t="s">
        <v>454</v>
      </c>
      <c r="B189" s="1" t="s">
        <v>455</v>
      </c>
      <c r="C189" t="s">
        <v>456</v>
      </c>
      <c r="D189" t="s">
        <v>12</v>
      </c>
      <c r="E189" t="s">
        <v>13</v>
      </c>
      <c r="F189">
        <v>5</v>
      </c>
      <c r="G189">
        <v>1444.83</v>
      </c>
      <c r="H189">
        <v>7224.15</v>
      </c>
      <c r="I189" t="s">
        <v>14</v>
      </c>
      <c r="J189">
        <f xml:space="preserve"> Sales_Data[[#This Row],[Quantity]] * Sales_Data[[#This Row],[Price]]</f>
        <v>7224.15</v>
      </c>
      <c r="K189" t="str">
        <f>TEXT(Sales_Data[[#This Row],[Order Date]],"MMM")</f>
        <v>Dec</v>
      </c>
      <c r="L189">
        <f>YEAR(Sales_Data[[#This Row],[Order Date]])</f>
        <v>2023</v>
      </c>
    </row>
    <row r="190" spans="1:12">
      <c r="A190" t="s">
        <v>457</v>
      </c>
      <c r="B190" s="1" t="s">
        <v>458</v>
      </c>
      <c r="C190" t="s">
        <v>316</v>
      </c>
      <c r="D190" t="s">
        <v>35</v>
      </c>
      <c r="E190" t="s">
        <v>13</v>
      </c>
      <c r="F190">
        <v>1</v>
      </c>
      <c r="G190">
        <v>1344.99</v>
      </c>
      <c r="H190">
        <v>1344.99</v>
      </c>
      <c r="I190" t="s">
        <v>47</v>
      </c>
      <c r="J190">
        <f xml:space="preserve"> Sales_Data[[#This Row],[Quantity]] * Sales_Data[[#This Row],[Price]]</f>
        <v>1344.99</v>
      </c>
      <c r="K190" t="str">
        <f>TEXT(Sales_Data[[#This Row],[Order Date]],"MMM")</f>
        <v>May</v>
      </c>
      <c r="L190">
        <f>YEAR(Sales_Data[[#This Row],[Order Date]])</f>
        <v>2023</v>
      </c>
    </row>
    <row r="191" spans="1:12">
      <c r="A191" t="s">
        <v>459</v>
      </c>
      <c r="B191" s="1" t="s">
        <v>460</v>
      </c>
      <c r="C191" t="s">
        <v>456</v>
      </c>
      <c r="D191" t="s">
        <v>79</v>
      </c>
      <c r="E191" t="s">
        <v>52</v>
      </c>
      <c r="F191">
        <v>3</v>
      </c>
      <c r="G191">
        <v>540.01</v>
      </c>
      <c r="H191">
        <v>1620.03</v>
      </c>
      <c r="I191" t="s">
        <v>31</v>
      </c>
      <c r="J191">
        <f xml:space="preserve"> Sales_Data[[#This Row],[Quantity]] * Sales_Data[[#This Row],[Price]]</f>
        <v>1620.03</v>
      </c>
      <c r="K191" t="str">
        <f>TEXT(Sales_Data[[#This Row],[Order Date]],"MMM")</f>
        <v>Jan</v>
      </c>
      <c r="L191">
        <f>YEAR(Sales_Data[[#This Row],[Order Date]])</f>
        <v>2023</v>
      </c>
    </row>
    <row r="192" spans="1:12">
      <c r="A192" t="s">
        <v>461</v>
      </c>
      <c r="B192" s="1" t="s">
        <v>462</v>
      </c>
      <c r="C192" t="s">
        <v>394</v>
      </c>
      <c r="D192" t="s">
        <v>79</v>
      </c>
      <c r="E192" t="s">
        <v>52</v>
      </c>
      <c r="F192">
        <v>3</v>
      </c>
      <c r="G192">
        <v>624.95000000000005</v>
      </c>
      <c r="H192">
        <v>1874.85</v>
      </c>
      <c r="I192" t="s">
        <v>23</v>
      </c>
      <c r="J192">
        <f xml:space="preserve"> Sales_Data[[#This Row],[Quantity]] * Sales_Data[[#This Row],[Price]]</f>
        <v>1874.8500000000001</v>
      </c>
      <c r="K192" t="str">
        <f>TEXT(Sales_Data[[#This Row],[Order Date]],"MMM")</f>
        <v>Aug</v>
      </c>
      <c r="L192">
        <f>YEAR(Sales_Data[[#This Row],[Order Date]])</f>
        <v>2023</v>
      </c>
    </row>
    <row r="193" spans="1:12">
      <c r="A193" t="s">
        <v>463</v>
      </c>
      <c r="B193" s="1" t="s">
        <v>464</v>
      </c>
      <c r="C193" t="s">
        <v>273</v>
      </c>
      <c r="D193" t="s">
        <v>35</v>
      </c>
      <c r="E193" t="s">
        <v>13</v>
      </c>
      <c r="F193">
        <v>3</v>
      </c>
      <c r="G193">
        <v>202.5</v>
      </c>
      <c r="H193">
        <v>607.5</v>
      </c>
      <c r="I193" t="s">
        <v>31</v>
      </c>
      <c r="J193">
        <f xml:space="preserve"> Sales_Data[[#This Row],[Quantity]] * Sales_Data[[#This Row],[Price]]</f>
        <v>607.5</v>
      </c>
      <c r="K193" t="str">
        <f>TEXT(Sales_Data[[#This Row],[Order Date]],"MMM")</f>
        <v>Jan</v>
      </c>
      <c r="L193">
        <f>YEAR(Sales_Data[[#This Row],[Order Date]])</f>
        <v>2023</v>
      </c>
    </row>
    <row r="194" spans="1:12">
      <c r="A194" t="s">
        <v>465</v>
      </c>
      <c r="B194" s="1" t="s">
        <v>466</v>
      </c>
      <c r="C194" t="s">
        <v>467</v>
      </c>
      <c r="D194" t="s">
        <v>51</v>
      </c>
      <c r="E194" t="s">
        <v>52</v>
      </c>
      <c r="F194">
        <v>2</v>
      </c>
      <c r="G194">
        <v>648.9</v>
      </c>
      <c r="H194">
        <v>1297.8</v>
      </c>
      <c r="I194" t="s">
        <v>14</v>
      </c>
      <c r="J194">
        <f xml:space="preserve"> Sales_Data[[#This Row],[Quantity]] * Sales_Data[[#This Row],[Price]]</f>
        <v>1297.8</v>
      </c>
      <c r="K194" t="str">
        <f>TEXT(Sales_Data[[#This Row],[Order Date]],"MMM")</f>
        <v>Apr</v>
      </c>
      <c r="L194">
        <f>YEAR(Sales_Data[[#This Row],[Order Date]])</f>
        <v>2023</v>
      </c>
    </row>
    <row r="195" spans="1:12">
      <c r="A195" t="s">
        <v>468</v>
      </c>
      <c r="B195" s="1" t="s">
        <v>339</v>
      </c>
      <c r="C195" t="s">
        <v>55</v>
      </c>
      <c r="D195" t="s">
        <v>39</v>
      </c>
      <c r="E195" t="s">
        <v>40</v>
      </c>
      <c r="F195">
        <v>2</v>
      </c>
      <c r="G195">
        <v>233.2</v>
      </c>
      <c r="H195">
        <v>466.4</v>
      </c>
      <c r="I195" t="s">
        <v>31</v>
      </c>
      <c r="J195">
        <f xml:space="preserve"> Sales_Data[[#This Row],[Quantity]] * Sales_Data[[#This Row],[Price]]</f>
        <v>466.4</v>
      </c>
      <c r="K195" t="str">
        <f>TEXT(Sales_Data[[#This Row],[Order Date]],"MMM")</f>
        <v>Apr</v>
      </c>
      <c r="L195">
        <f>YEAR(Sales_Data[[#This Row],[Order Date]])</f>
        <v>2023</v>
      </c>
    </row>
    <row r="196" spans="1:12">
      <c r="A196" t="s">
        <v>469</v>
      </c>
      <c r="B196" s="1" t="s">
        <v>470</v>
      </c>
      <c r="C196" t="s">
        <v>105</v>
      </c>
      <c r="D196" t="s">
        <v>51</v>
      </c>
      <c r="E196" t="s">
        <v>52</v>
      </c>
      <c r="F196">
        <v>1</v>
      </c>
      <c r="G196">
        <v>1175.98</v>
      </c>
      <c r="H196">
        <v>1175.98</v>
      </c>
      <c r="I196" t="s">
        <v>23</v>
      </c>
      <c r="J196">
        <f xml:space="preserve"> Sales_Data[[#This Row],[Quantity]] * Sales_Data[[#This Row],[Price]]</f>
        <v>1175.98</v>
      </c>
      <c r="K196" t="str">
        <f>TEXT(Sales_Data[[#This Row],[Order Date]],"MMM")</f>
        <v>May</v>
      </c>
      <c r="L196">
        <f>YEAR(Sales_Data[[#This Row],[Order Date]])</f>
        <v>2023</v>
      </c>
    </row>
    <row r="197" spans="1:12">
      <c r="A197" t="s">
        <v>471</v>
      </c>
      <c r="B197" s="1" t="s">
        <v>472</v>
      </c>
      <c r="C197" t="s">
        <v>378</v>
      </c>
      <c r="D197" t="s">
        <v>18</v>
      </c>
      <c r="E197" t="s">
        <v>19</v>
      </c>
      <c r="F197">
        <v>2</v>
      </c>
      <c r="G197">
        <v>669.64</v>
      </c>
      <c r="H197">
        <v>1339.28</v>
      </c>
      <c r="I197" t="s">
        <v>23</v>
      </c>
      <c r="J197">
        <f xml:space="preserve"> Sales_Data[[#This Row],[Quantity]] * Sales_Data[[#This Row],[Price]]</f>
        <v>1339.28</v>
      </c>
      <c r="K197" t="str">
        <f>TEXT(Sales_Data[[#This Row],[Order Date]],"MMM")</f>
        <v>Oct</v>
      </c>
      <c r="L197">
        <f>YEAR(Sales_Data[[#This Row],[Order Date]])</f>
        <v>2023</v>
      </c>
    </row>
    <row r="198" spans="1:12">
      <c r="A198" t="s">
        <v>473</v>
      </c>
      <c r="B198" s="1" t="s">
        <v>474</v>
      </c>
      <c r="C198" t="s">
        <v>208</v>
      </c>
      <c r="D198" t="s">
        <v>51</v>
      </c>
      <c r="E198" t="s">
        <v>52</v>
      </c>
      <c r="F198">
        <v>2</v>
      </c>
      <c r="G198">
        <v>1225.8</v>
      </c>
      <c r="H198">
        <v>2451.6</v>
      </c>
      <c r="I198" t="s">
        <v>47</v>
      </c>
      <c r="J198">
        <f xml:space="preserve"> Sales_Data[[#This Row],[Quantity]] * Sales_Data[[#This Row],[Price]]</f>
        <v>2451.6</v>
      </c>
      <c r="K198" t="str">
        <f>TEXT(Sales_Data[[#This Row],[Order Date]],"MMM")</f>
        <v>Nov</v>
      </c>
      <c r="L198">
        <f>YEAR(Sales_Data[[#This Row],[Order Date]])</f>
        <v>2023</v>
      </c>
    </row>
    <row r="199" spans="1:12">
      <c r="A199" t="s">
        <v>475</v>
      </c>
      <c r="B199" s="1" t="s">
        <v>216</v>
      </c>
      <c r="C199" t="s">
        <v>290</v>
      </c>
      <c r="D199" t="s">
        <v>18</v>
      </c>
      <c r="E199" t="s">
        <v>19</v>
      </c>
      <c r="F199">
        <v>4</v>
      </c>
      <c r="G199">
        <v>471.29</v>
      </c>
      <c r="H199">
        <v>1885.16</v>
      </c>
      <c r="I199" t="s">
        <v>47</v>
      </c>
      <c r="J199">
        <f xml:space="preserve"> Sales_Data[[#This Row],[Quantity]] * Sales_Data[[#This Row],[Price]]</f>
        <v>1885.16</v>
      </c>
      <c r="K199" t="str">
        <f>TEXT(Sales_Data[[#This Row],[Order Date]],"MMM")</f>
        <v>Oct</v>
      </c>
      <c r="L199">
        <f>YEAR(Sales_Data[[#This Row],[Order Date]])</f>
        <v>2023</v>
      </c>
    </row>
    <row r="200" spans="1:12">
      <c r="A200" t="s">
        <v>476</v>
      </c>
      <c r="B200" s="1" t="s">
        <v>49</v>
      </c>
      <c r="C200" t="s">
        <v>408</v>
      </c>
      <c r="D200" t="s">
        <v>12</v>
      </c>
      <c r="E200" t="s">
        <v>13</v>
      </c>
      <c r="F200">
        <v>3</v>
      </c>
      <c r="G200">
        <v>107.67</v>
      </c>
      <c r="H200">
        <v>323.01</v>
      </c>
      <c r="I200" t="s">
        <v>14</v>
      </c>
      <c r="J200">
        <f xml:space="preserve"> Sales_Data[[#This Row],[Quantity]] * Sales_Data[[#This Row],[Price]]</f>
        <v>323.01</v>
      </c>
      <c r="K200" t="str">
        <f>TEXT(Sales_Data[[#This Row],[Order Date]],"MMM")</f>
        <v>Jan</v>
      </c>
      <c r="L200">
        <f>YEAR(Sales_Data[[#This Row],[Order Date]])</f>
        <v>2023</v>
      </c>
    </row>
    <row r="201" spans="1:12">
      <c r="A201" t="s">
        <v>477</v>
      </c>
      <c r="B201" s="1" t="s">
        <v>472</v>
      </c>
      <c r="C201" t="s">
        <v>143</v>
      </c>
      <c r="D201" t="s">
        <v>79</v>
      </c>
      <c r="E201" t="s">
        <v>52</v>
      </c>
      <c r="F201">
        <v>5</v>
      </c>
      <c r="G201">
        <v>1373.03</v>
      </c>
      <c r="H201">
        <v>6865.15</v>
      </c>
      <c r="I201" t="s">
        <v>14</v>
      </c>
      <c r="J201">
        <f xml:space="preserve"> Sales_Data[[#This Row],[Quantity]] * Sales_Data[[#This Row],[Price]]</f>
        <v>6865.15</v>
      </c>
      <c r="K201" t="str">
        <f>TEXT(Sales_Data[[#This Row],[Order Date]],"MMM")</f>
        <v>Oct</v>
      </c>
      <c r="L201">
        <f>YEAR(Sales_Data[[#This Row],[Order Date]])</f>
        <v>2023</v>
      </c>
    </row>
    <row r="202" spans="1:12">
      <c r="A202" t="s">
        <v>478</v>
      </c>
      <c r="B202" s="1" t="s">
        <v>479</v>
      </c>
      <c r="C202" t="s">
        <v>480</v>
      </c>
      <c r="D202" t="s">
        <v>59</v>
      </c>
      <c r="E202" t="s">
        <v>40</v>
      </c>
      <c r="F202">
        <v>1</v>
      </c>
      <c r="G202">
        <v>1635.82</v>
      </c>
      <c r="H202">
        <v>1635.82</v>
      </c>
      <c r="I202" t="s">
        <v>47</v>
      </c>
      <c r="J202">
        <f xml:space="preserve"> Sales_Data[[#This Row],[Quantity]] * Sales_Data[[#This Row],[Price]]</f>
        <v>1635.82</v>
      </c>
      <c r="K202" t="str">
        <f>TEXT(Sales_Data[[#This Row],[Order Date]],"MMM")</f>
        <v>Feb</v>
      </c>
      <c r="L202">
        <f>YEAR(Sales_Data[[#This Row],[Order Date]])</f>
        <v>2023</v>
      </c>
    </row>
    <row r="203" spans="1:12">
      <c r="A203" t="s">
        <v>481</v>
      </c>
      <c r="B203" s="1" t="s">
        <v>482</v>
      </c>
      <c r="C203" t="s">
        <v>228</v>
      </c>
      <c r="D203" t="s">
        <v>12</v>
      </c>
      <c r="E203" t="s">
        <v>13</v>
      </c>
      <c r="F203">
        <v>4</v>
      </c>
      <c r="G203">
        <v>427.64</v>
      </c>
      <c r="H203">
        <v>1710.56</v>
      </c>
      <c r="I203" t="s">
        <v>14</v>
      </c>
      <c r="J203">
        <f xml:space="preserve"> Sales_Data[[#This Row],[Quantity]] * Sales_Data[[#This Row],[Price]]</f>
        <v>1710.56</v>
      </c>
      <c r="K203" t="str">
        <f>TEXT(Sales_Data[[#This Row],[Order Date]],"MMM")</f>
        <v>Oct</v>
      </c>
      <c r="L203">
        <f>YEAR(Sales_Data[[#This Row],[Order Date]])</f>
        <v>2023</v>
      </c>
    </row>
    <row r="204" spans="1:12">
      <c r="A204" t="s">
        <v>483</v>
      </c>
      <c r="B204" s="1" t="s">
        <v>370</v>
      </c>
      <c r="C204" t="s">
        <v>386</v>
      </c>
      <c r="D204" t="s">
        <v>79</v>
      </c>
      <c r="E204" t="s">
        <v>52</v>
      </c>
      <c r="F204">
        <v>2</v>
      </c>
      <c r="G204">
        <v>177.83</v>
      </c>
      <c r="H204">
        <v>355.66</v>
      </c>
      <c r="I204" t="s">
        <v>14</v>
      </c>
      <c r="J204">
        <f xml:space="preserve"> Sales_Data[[#This Row],[Quantity]] * Sales_Data[[#This Row],[Price]]</f>
        <v>355.66</v>
      </c>
      <c r="K204" t="str">
        <f>TEXT(Sales_Data[[#This Row],[Order Date]],"MMM")</f>
        <v>Dec</v>
      </c>
      <c r="L204">
        <f>YEAR(Sales_Data[[#This Row],[Order Date]])</f>
        <v>2023</v>
      </c>
    </row>
    <row r="205" spans="1:12">
      <c r="A205" t="s">
        <v>484</v>
      </c>
      <c r="B205" s="1" t="s">
        <v>485</v>
      </c>
      <c r="C205" t="s">
        <v>308</v>
      </c>
      <c r="D205" t="s">
        <v>110</v>
      </c>
      <c r="E205" t="s">
        <v>52</v>
      </c>
      <c r="F205">
        <v>3</v>
      </c>
      <c r="G205">
        <v>1511.58</v>
      </c>
      <c r="H205">
        <v>4534.74</v>
      </c>
      <c r="I205" t="s">
        <v>14</v>
      </c>
      <c r="J205">
        <f xml:space="preserve"> Sales_Data[[#This Row],[Quantity]] * Sales_Data[[#This Row],[Price]]</f>
        <v>4534.74</v>
      </c>
      <c r="K205" t="str">
        <f>TEXT(Sales_Data[[#This Row],[Order Date]],"MMM")</f>
        <v>Oct</v>
      </c>
      <c r="L205">
        <f>YEAR(Sales_Data[[#This Row],[Order Date]])</f>
        <v>2023</v>
      </c>
    </row>
    <row r="206" spans="1:12">
      <c r="A206" t="s">
        <v>486</v>
      </c>
      <c r="B206" s="1" t="s">
        <v>487</v>
      </c>
      <c r="C206" t="s">
        <v>156</v>
      </c>
      <c r="D206" t="s">
        <v>35</v>
      </c>
      <c r="E206" t="s">
        <v>13</v>
      </c>
      <c r="F206">
        <v>1</v>
      </c>
      <c r="G206">
        <v>1706.15</v>
      </c>
      <c r="H206">
        <v>1706.15</v>
      </c>
      <c r="I206" t="s">
        <v>31</v>
      </c>
      <c r="J206">
        <f xml:space="preserve"> Sales_Data[[#This Row],[Quantity]] * Sales_Data[[#This Row],[Price]]</f>
        <v>1706.15</v>
      </c>
      <c r="K206" t="str">
        <f>TEXT(Sales_Data[[#This Row],[Order Date]],"MMM")</f>
        <v>Apr</v>
      </c>
      <c r="L206">
        <f>YEAR(Sales_Data[[#This Row],[Order Date]])</f>
        <v>2023</v>
      </c>
    </row>
    <row r="207" spans="1:12">
      <c r="A207" t="s">
        <v>488</v>
      </c>
      <c r="B207" s="1" t="s">
        <v>489</v>
      </c>
      <c r="C207" t="s">
        <v>316</v>
      </c>
      <c r="D207" t="s">
        <v>79</v>
      </c>
      <c r="E207" t="s">
        <v>52</v>
      </c>
      <c r="F207">
        <v>2</v>
      </c>
      <c r="G207">
        <v>1208.01</v>
      </c>
      <c r="H207">
        <v>2416.02</v>
      </c>
      <c r="I207" t="s">
        <v>31</v>
      </c>
      <c r="J207">
        <f xml:space="preserve"> Sales_Data[[#This Row],[Quantity]] * Sales_Data[[#This Row],[Price]]</f>
        <v>2416.02</v>
      </c>
      <c r="K207" t="str">
        <f>TEXT(Sales_Data[[#This Row],[Order Date]],"MMM")</f>
        <v>Oct</v>
      </c>
      <c r="L207">
        <f>YEAR(Sales_Data[[#This Row],[Order Date]])</f>
        <v>2023</v>
      </c>
    </row>
    <row r="208" spans="1:12">
      <c r="A208" t="s">
        <v>490</v>
      </c>
      <c r="B208" s="1" t="s">
        <v>491</v>
      </c>
      <c r="C208" t="s">
        <v>43</v>
      </c>
      <c r="D208" t="s">
        <v>30</v>
      </c>
      <c r="E208" t="s">
        <v>19</v>
      </c>
      <c r="F208">
        <v>1</v>
      </c>
      <c r="G208">
        <v>1489.6</v>
      </c>
      <c r="H208">
        <v>1489.6</v>
      </c>
      <c r="I208" t="s">
        <v>23</v>
      </c>
      <c r="J208">
        <f xml:space="preserve"> Sales_Data[[#This Row],[Quantity]] * Sales_Data[[#This Row],[Price]]</f>
        <v>1489.6</v>
      </c>
      <c r="K208" t="str">
        <f>TEXT(Sales_Data[[#This Row],[Order Date]],"MMM")</f>
        <v>Jan</v>
      </c>
      <c r="L208">
        <f>YEAR(Sales_Data[[#This Row],[Order Date]])</f>
        <v>2024</v>
      </c>
    </row>
    <row r="209" spans="1:12">
      <c r="A209" t="s">
        <v>492</v>
      </c>
      <c r="B209" s="1" t="s">
        <v>493</v>
      </c>
      <c r="C209" t="s">
        <v>494</v>
      </c>
      <c r="D209" t="s">
        <v>79</v>
      </c>
      <c r="E209" t="s">
        <v>52</v>
      </c>
      <c r="F209">
        <v>5</v>
      </c>
      <c r="G209">
        <v>384.23</v>
      </c>
      <c r="H209">
        <v>1921.15</v>
      </c>
      <c r="I209" t="s">
        <v>14</v>
      </c>
      <c r="J209">
        <f xml:space="preserve"> Sales_Data[[#This Row],[Quantity]] * Sales_Data[[#This Row],[Price]]</f>
        <v>1921.15</v>
      </c>
      <c r="K209" t="str">
        <f>TEXT(Sales_Data[[#This Row],[Order Date]],"MMM")</f>
        <v>May</v>
      </c>
      <c r="L209">
        <f>YEAR(Sales_Data[[#This Row],[Order Date]])</f>
        <v>2023</v>
      </c>
    </row>
    <row r="210" spans="1:12">
      <c r="A210" t="s">
        <v>495</v>
      </c>
      <c r="B210" s="1" t="s">
        <v>327</v>
      </c>
      <c r="C210" t="s">
        <v>496</v>
      </c>
      <c r="D210" t="s">
        <v>51</v>
      </c>
      <c r="E210" t="s">
        <v>52</v>
      </c>
      <c r="F210">
        <v>5</v>
      </c>
      <c r="G210">
        <v>1832.36</v>
      </c>
      <c r="H210">
        <v>9161.7999999999993</v>
      </c>
      <c r="I210" t="s">
        <v>23</v>
      </c>
      <c r="J210">
        <f xml:space="preserve"> Sales_Data[[#This Row],[Quantity]] * Sales_Data[[#This Row],[Price]]</f>
        <v>9161.7999999999993</v>
      </c>
      <c r="K210" t="str">
        <f>TEXT(Sales_Data[[#This Row],[Order Date]],"MMM")</f>
        <v>Dec</v>
      </c>
      <c r="L210">
        <f>YEAR(Sales_Data[[#This Row],[Order Date]])</f>
        <v>2023</v>
      </c>
    </row>
    <row r="211" spans="1:12">
      <c r="A211" t="s">
        <v>497</v>
      </c>
      <c r="B211" s="1" t="s">
        <v>448</v>
      </c>
      <c r="C211" t="s">
        <v>498</v>
      </c>
      <c r="D211" t="s">
        <v>79</v>
      </c>
      <c r="E211" t="s">
        <v>52</v>
      </c>
      <c r="F211">
        <v>5</v>
      </c>
      <c r="G211">
        <v>935.53</v>
      </c>
      <c r="H211">
        <v>4677.6499999999996</v>
      </c>
      <c r="I211" t="s">
        <v>31</v>
      </c>
      <c r="J211">
        <f xml:space="preserve"> Sales_Data[[#This Row],[Quantity]] * Sales_Data[[#This Row],[Price]]</f>
        <v>4677.6499999999996</v>
      </c>
      <c r="K211" t="str">
        <f>TEXT(Sales_Data[[#This Row],[Order Date]],"MMM")</f>
        <v>Sept</v>
      </c>
      <c r="L211">
        <f>YEAR(Sales_Data[[#This Row],[Order Date]])</f>
        <v>2023</v>
      </c>
    </row>
    <row r="212" spans="1:12">
      <c r="A212" t="s">
        <v>499</v>
      </c>
      <c r="B212" s="1" t="s">
        <v>142</v>
      </c>
      <c r="C212" t="s">
        <v>156</v>
      </c>
      <c r="D212" t="s">
        <v>39</v>
      </c>
      <c r="E212" t="s">
        <v>40</v>
      </c>
      <c r="F212">
        <v>3</v>
      </c>
      <c r="G212">
        <v>1231.1300000000001</v>
      </c>
      <c r="H212">
        <v>3693.39</v>
      </c>
      <c r="I212" t="s">
        <v>47</v>
      </c>
      <c r="J212">
        <f xml:space="preserve"> Sales_Data[[#This Row],[Quantity]] * Sales_Data[[#This Row],[Price]]</f>
        <v>3693.3900000000003</v>
      </c>
      <c r="K212" t="str">
        <f>TEXT(Sales_Data[[#This Row],[Order Date]],"MMM")</f>
        <v>May</v>
      </c>
      <c r="L212">
        <f>YEAR(Sales_Data[[#This Row],[Order Date]])</f>
        <v>2023</v>
      </c>
    </row>
    <row r="213" spans="1:12">
      <c r="A213" t="s">
        <v>500</v>
      </c>
      <c r="B213" s="1" t="s">
        <v>54</v>
      </c>
      <c r="C213" t="s">
        <v>265</v>
      </c>
      <c r="D213" t="s">
        <v>39</v>
      </c>
      <c r="E213" t="s">
        <v>40</v>
      </c>
      <c r="F213">
        <v>5</v>
      </c>
      <c r="G213">
        <v>1826.4</v>
      </c>
      <c r="H213">
        <v>9132</v>
      </c>
      <c r="I213" t="s">
        <v>47</v>
      </c>
      <c r="J213">
        <f xml:space="preserve"> Sales_Data[[#This Row],[Quantity]] * Sales_Data[[#This Row],[Price]]</f>
        <v>9132</v>
      </c>
      <c r="K213" t="str">
        <f>TEXT(Sales_Data[[#This Row],[Order Date]],"MMM")</f>
        <v>Dec</v>
      </c>
      <c r="L213">
        <f>YEAR(Sales_Data[[#This Row],[Order Date]])</f>
        <v>2023</v>
      </c>
    </row>
    <row r="214" spans="1:12">
      <c r="A214" t="s">
        <v>501</v>
      </c>
      <c r="B214" s="1" t="s">
        <v>502</v>
      </c>
      <c r="C214" t="s">
        <v>246</v>
      </c>
      <c r="D214" t="s">
        <v>12</v>
      </c>
      <c r="E214" t="s">
        <v>13</v>
      </c>
      <c r="F214">
        <v>2</v>
      </c>
      <c r="G214">
        <v>127.1</v>
      </c>
      <c r="H214">
        <v>254.2</v>
      </c>
      <c r="I214" t="s">
        <v>31</v>
      </c>
      <c r="J214">
        <f xml:space="preserve"> Sales_Data[[#This Row],[Quantity]] * Sales_Data[[#This Row],[Price]]</f>
        <v>254.2</v>
      </c>
      <c r="K214" t="str">
        <f>TEXT(Sales_Data[[#This Row],[Order Date]],"MMM")</f>
        <v>Jul</v>
      </c>
      <c r="L214">
        <f>YEAR(Sales_Data[[#This Row],[Order Date]])</f>
        <v>2023</v>
      </c>
    </row>
    <row r="215" spans="1:12">
      <c r="A215" t="s">
        <v>503</v>
      </c>
      <c r="B215" s="1" t="s">
        <v>104</v>
      </c>
      <c r="C215" t="s">
        <v>135</v>
      </c>
      <c r="D215" t="s">
        <v>18</v>
      </c>
      <c r="E215" t="s">
        <v>19</v>
      </c>
      <c r="F215">
        <v>3</v>
      </c>
      <c r="G215">
        <v>987.53</v>
      </c>
      <c r="H215">
        <v>2962.59</v>
      </c>
      <c r="I215" t="s">
        <v>23</v>
      </c>
      <c r="J215">
        <f xml:space="preserve"> Sales_Data[[#This Row],[Quantity]] * Sales_Data[[#This Row],[Price]]</f>
        <v>2962.59</v>
      </c>
      <c r="K215" t="str">
        <f>TEXT(Sales_Data[[#This Row],[Order Date]],"MMM")</f>
        <v>Aug</v>
      </c>
      <c r="L215">
        <f>YEAR(Sales_Data[[#This Row],[Order Date]])</f>
        <v>2023</v>
      </c>
    </row>
    <row r="216" spans="1:12">
      <c r="A216" t="s">
        <v>504</v>
      </c>
      <c r="B216" s="1" t="s">
        <v>505</v>
      </c>
      <c r="C216" t="s">
        <v>192</v>
      </c>
      <c r="D216" t="s">
        <v>59</v>
      </c>
      <c r="E216" t="s">
        <v>40</v>
      </c>
      <c r="F216">
        <v>4</v>
      </c>
      <c r="G216">
        <v>777.16</v>
      </c>
      <c r="H216">
        <v>3108.64</v>
      </c>
      <c r="I216" t="s">
        <v>14</v>
      </c>
      <c r="J216">
        <f xml:space="preserve"> Sales_Data[[#This Row],[Quantity]] * Sales_Data[[#This Row],[Price]]</f>
        <v>3108.64</v>
      </c>
      <c r="K216" t="str">
        <f>TEXT(Sales_Data[[#This Row],[Order Date]],"MMM")</f>
        <v>Jun</v>
      </c>
      <c r="L216">
        <f>YEAR(Sales_Data[[#This Row],[Order Date]])</f>
        <v>2023</v>
      </c>
    </row>
    <row r="217" spans="1:12">
      <c r="A217" t="s">
        <v>506</v>
      </c>
      <c r="B217" s="1" t="s">
        <v>176</v>
      </c>
      <c r="C217" t="s">
        <v>96</v>
      </c>
      <c r="D217" t="s">
        <v>110</v>
      </c>
      <c r="E217" t="s">
        <v>52</v>
      </c>
      <c r="F217">
        <v>4</v>
      </c>
      <c r="G217">
        <v>1410.25</v>
      </c>
      <c r="H217">
        <v>5641</v>
      </c>
      <c r="I217" t="s">
        <v>14</v>
      </c>
      <c r="J217">
        <f xml:space="preserve"> Sales_Data[[#This Row],[Quantity]] * Sales_Data[[#This Row],[Price]]</f>
        <v>5641</v>
      </c>
      <c r="K217" t="str">
        <f>TEXT(Sales_Data[[#This Row],[Order Date]],"MMM")</f>
        <v>Jun</v>
      </c>
      <c r="L217">
        <f>YEAR(Sales_Data[[#This Row],[Order Date]])</f>
        <v>2023</v>
      </c>
    </row>
    <row r="218" spans="1:12">
      <c r="A218" t="s">
        <v>507</v>
      </c>
      <c r="B218" s="1" t="s">
        <v>98</v>
      </c>
      <c r="C218" t="s">
        <v>378</v>
      </c>
      <c r="D218" t="s">
        <v>79</v>
      </c>
      <c r="E218" t="s">
        <v>52</v>
      </c>
      <c r="F218">
        <v>2</v>
      </c>
      <c r="G218">
        <v>1510.44</v>
      </c>
      <c r="H218">
        <v>3020.88</v>
      </c>
      <c r="I218" t="s">
        <v>23</v>
      </c>
      <c r="J218">
        <f xml:space="preserve"> Sales_Data[[#This Row],[Quantity]] * Sales_Data[[#This Row],[Price]]</f>
        <v>3020.88</v>
      </c>
      <c r="K218" t="str">
        <f>TEXT(Sales_Data[[#This Row],[Order Date]],"MMM")</f>
        <v>Sept</v>
      </c>
      <c r="L218">
        <f>YEAR(Sales_Data[[#This Row],[Order Date]])</f>
        <v>2023</v>
      </c>
    </row>
    <row r="219" spans="1:12">
      <c r="A219" t="s">
        <v>508</v>
      </c>
      <c r="B219" s="1" t="s">
        <v>509</v>
      </c>
      <c r="C219" t="s">
        <v>386</v>
      </c>
      <c r="D219" t="s">
        <v>12</v>
      </c>
      <c r="E219" t="s">
        <v>13</v>
      </c>
      <c r="F219">
        <v>5</v>
      </c>
      <c r="G219">
        <v>1790.35</v>
      </c>
      <c r="H219">
        <v>8951.75</v>
      </c>
      <c r="I219" t="s">
        <v>23</v>
      </c>
      <c r="J219">
        <f xml:space="preserve"> Sales_Data[[#This Row],[Quantity]] * Sales_Data[[#This Row],[Price]]</f>
        <v>8951.75</v>
      </c>
      <c r="K219" t="str">
        <f>TEXT(Sales_Data[[#This Row],[Order Date]],"MMM")</f>
        <v>Sept</v>
      </c>
      <c r="L219">
        <f>YEAR(Sales_Data[[#This Row],[Order Date]])</f>
        <v>2023</v>
      </c>
    </row>
    <row r="220" spans="1:12">
      <c r="A220" t="s">
        <v>510</v>
      </c>
      <c r="B220" s="1" t="s">
        <v>511</v>
      </c>
      <c r="C220" t="s">
        <v>278</v>
      </c>
      <c r="D220" t="s">
        <v>30</v>
      </c>
      <c r="E220" t="s">
        <v>19</v>
      </c>
      <c r="F220">
        <v>3</v>
      </c>
      <c r="G220">
        <v>847.35</v>
      </c>
      <c r="H220">
        <v>2542.0500000000002</v>
      </c>
      <c r="I220" t="s">
        <v>23</v>
      </c>
      <c r="J220">
        <f xml:space="preserve"> Sales_Data[[#This Row],[Quantity]] * Sales_Data[[#This Row],[Price]]</f>
        <v>2542.0500000000002</v>
      </c>
      <c r="K220" t="str">
        <f>TEXT(Sales_Data[[#This Row],[Order Date]],"MMM")</f>
        <v>Jul</v>
      </c>
      <c r="L220">
        <f>YEAR(Sales_Data[[#This Row],[Order Date]])</f>
        <v>2023</v>
      </c>
    </row>
    <row r="221" spans="1:12">
      <c r="A221" t="s">
        <v>512</v>
      </c>
      <c r="B221" s="1" t="s">
        <v>513</v>
      </c>
      <c r="C221" t="s">
        <v>118</v>
      </c>
      <c r="D221" t="s">
        <v>110</v>
      </c>
      <c r="E221" t="s">
        <v>52</v>
      </c>
      <c r="F221">
        <v>4</v>
      </c>
      <c r="G221">
        <v>1514.17</v>
      </c>
      <c r="H221">
        <v>6056.68</v>
      </c>
      <c r="I221" t="s">
        <v>14</v>
      </c>
      <c r="J221">
        <f xml:space="preserve"> Sales_Data[[#This Row],[Quantity]] * Sales_Data[[#This Row],[Price]]</f>
        <v>6056.68</v>
      </c>
      <c r="K221" t="str">
        <f>TEXT(Sales_Data[[#This Row],[Order Date]],"MMM")</f>
        <v>Jan</v>
      </c>
      <c r="L221">
        <f>YEAR(Sales_Data[[#This Row],[Order Date]])</f>
        <v>2023</v>
      </c>
    </row>
    <row r="222" spans="1:12">
      <c r="A222" t="s">
        <v>514</v>
      </c>
      <c r="B222" s="1" t="s">
        <v>515</v>
      </c>
      <c r="C222" t="s">
        <v>153</v>
      </c>
      <c r="D222" t="s">
        <v>18</v>
      </c>
      <c r="E222" t="s">
        <v>19</v>
      </c>
      <c r="F222">
        <v>2</v>
      </c>
      <c r="G222">
        <v>557.04999999999995</v>
      </c>
      <c r="H222">
        <v>1114.0999999999999</v>
      </c>
      <c r="I222" t="s">
        <v>31</v>
      </c>
      <c r="J222">
        <f xml:space="preserve"> Sales_Data[[#This Row],[Quantity]] * Sales_Data[[#This Row],[Price]]</f>
        <v>1114.0999999999999</v>
      </c>
      <c r="K222" t="str">
        <f>TEXT(Sales_Data[[#This Row],[Order Date]],"MMM")</f>
        <v>Oct</v>
      </c>
      <c r="L222">
        <f>YEAR(Sales_Data[[#This Row],[Order Date]])</f>
        <v>2023</v>
      </c>
    </row>
    <row r="223" spans="1:12">
      <c r="A223" t="s">
        <v>516</v>
      </c>
      <c r="B223" s="1" t="s">
        <v>446</v>
      </c>
      <c r="C223" t="s">
        <v>238</v>
      </c>
      <c r="D223" t="s">
        <v>35</v>
      </c>
      <c r="E223" t="s">
        <v>13</v>
      </c>
      <c r="F223">
        <v>3</v>
      </c>
      <c r="G223">
        <v>233.69</v>
      </c>
      <c r="H223">
        <v>701.07</v>
      </c>
      <c r="I223" t="s">
        <v>14</v>
      </c>
      <c r="J223">
        <f xml:space="preserve"> Sales_Data[[#This Row],[Quantity]] * Sales_Data[[#This Row],[Price]]</f>
        <v>701.06999999999994</v>
      </c>
      <c r="K223" t="str">
        <f>TEXT(Sales_Data[[#This Row],[Order Date]],"MMM")</f>
        <v>Mar</v>
      </c>
      <c r="L223">
        <f>YEAR(Sales_Data[[#This Row],[Order Date]])</f>
        <v>2023</v>
      </c>
    </row>
    <row r="224" spans="1:12">
      <c r="A224" t="s">
        <v>517</v>
      </c>
      <c r="B224" s="1" t="s">
        <v>321</v>
      </c>
      <c r="C224" t="s">
        <v>169</v>
      </c>
      <c r="D224" t="s">
        <v>12</v>
      </c>
      <c r="E224" t="s">
        <v>13</v>
      </c>
      <c r="F224">
        <v>2</v>
      </c>
      <c r="G224">
        <v>1448.25</v>
      </c>
      <c r="H224">
        <v>2896.5</v>
      </c>
      <c r="I224" t="s">
        <v>14</v>
      </c>
      <c r="J224">
        <f xml:space="preserve"> Sales_Data[[#This Row],[Quantity]] * Sales_Data[[#This Row],[Price]]</f>
        <v>2896.5</v>
      </c>
      <c r="K224" t="str">
        <f>TEXT(Sales_Data[[#This Row],[Order Date]],"MMM")</f>
        <v>Apr</v>
      </c>
      <c r="L224">
        <f>YEAR(Sales_Data[[#This Row],[Order Date]])</f>
        <v>2023</v>
      </c>
    </row>
    <row r="225" spans="1:12">
      <c r="A225" t="s">
        <v>518</v>
      </c>
      <c r="B225" s="1" t="s">
        <v>200</v>
      </c>
      <c r="C225" t="s">
        <v>368</v>
      </c>
      <c r="D225" t="s">
        <v>79</v>
      </c>
      <c r="E225" t="s">
        <v>52</v>
      </c>
      <c r="F225">
        <v>1</v>
      </c>
      <c r="G225">
        <v>311.02</v>
      </c>
      <c r="H225">
        <v>311.02</v>
      </c>
      <c r="I225" t="s">
        <v>47</v>
      </c>
      <c r="J225">
        <f xml:space="preserve"> Sales_Data[[#This Row],[Quantity]] * Sales_Data[[#This Row],[Price]]</f>
        <v>311.02</v>
      </c>
      <c r="K225" t="str">
        <f>TEXT(Sales_Data[[#This Row],[Order Date]],"MMM")</f>
        <v>Sept</v>
      </c>
      <c r="L225">
        <f>YEAR(Sales_Data[[#This Row],[Order Date]])</f>
        <v>2023</v>
      </c>
    </row>
    <row r="226" spans="1:12">
      <c r="A226" t="s">
        <v>519</v>
      </c>
      <c r="B226" s="1" t="s">
        <v>367</v>
      </c>
      <c r="C226" t="s">
        <v>90</v>
      </c>
      <c r="D226" t="s">
        <v>18</v>
      </c>
      <c r="E226" t="s">
        <v>19</v>
      </c>
      <c r="F226">
        <v>5</v>
      </c>
      <c r="G226">
        <v>1635.13</v>
      </c>
      <c r="H226">
        <v>8175.65</v>
      </c>
      <c r="I226" t="s">
        <v>14</v>
      </c>
      <c r="J226">
        <f xml:space="preserve"> Sales_Data[[#This Row],[Quantity]] * Sales_Data[[#This Row],[Price]]</f>
        <v>8175.6500000000005</v>
      </c>
      <c r="K226" t="str">
        <f>TEXT(Sales_Data[[#This Row],[Order Date]],"MMM")</f>
        <v>Jan</v>
      </c>
      <c r="L226">
        <f>YEAR(Sales_Data[[#This Row],[Order Date]])</f>
        <v>2023</v>
      </c>
    </row>
    <row r="227" spans="1:12">
      <c r="A227" t="s">
        <v>520</v>
      </c>
      <c r="B227" s="1" t="s">
        <v>352</v>
      </c>
      <c r="C227" t="s">
        <v>449</v>
      </c>
      <c r="D227" t="s">
        <v>39</v>
      </c>
      <c r="E227" t="s">
        <v>40</v>
      </c>
      <c r="F227">
        <v>1</v>
      </c>
      <c r="G227">
        <v>1451.19</v>
      </c>
      <c r="H227">
        <v>1451.19</v>
      </c>
      <c r="I227" t="s">
        <v>47</v>
      </c>
      <c r="J227">
        <f xml:space="preserve"> Sales_Data[[#This Row],[Quantity]] * Sales_Data[[#This Row],[Price]]</f>
        <v>1451.19</v>
      </c>
      <c r="K227" t="str">
        <f>TEXT(Sales_Data[[#This Row],[Order Date]],"MMM")</f>
        <v>Mar</v>
      </c>
      <c r="L227">
        <f>YEAR(Sales_Data[[#This Row],[Order Date]])</f>
        <v>2023</v>
      </c>
    </row>
    <row r="228" spans="1:12">
      <c r="A228" t="s">
        <v>521</v>
      </c>
      <c r="B228" s="1" t="s">
        <v>522</v>
      </c>
      <c r="C228" t="s">
        <v>82</v>
      </c>
      <c r="D228" t="s">
        <v>79</v>
      </c>
      <c r="E228" t="s">
        <v>52</v>
      </c>
      <c r="F228">
        <v>4</v>
      </c>
      <c r="G228">
        <v>1818.12</v>
      </c>
      <c r="H228">
        <v>7272.48</v>
      </c>
      <c r="I228" t="s">
        <v>14</v>
      </c>
      <c r="J228">
        <f xml:space="preserve"> Sales_Data[[#This Row],[Quantity]] * Sales_Data[[#This Row],[Price]]</f>
        <v>7272.48</v>
      </c>
      <c r="K228" t="str">
        <f>TEXT(Sales_Data[[#This Row],[Order Date]],"MMM")</f>
        <v>Mar</v>
      </c>
      <c r="L228">
        <f>YEAR(Sales_Data[[#This Row],[Order Date]])</f>
        <v>2023</v>
      </c>
    </row>
    <row r="229" spans="1:12">
      <c r="A229" t="s">
        <v>523</v>
      </c>
      <c r="B229" s="1" t="s">
        <v>524</v>
      </c>
      <c r="C229" t="s">
        <v>166</v>
      </c>
      <c r="D229" t="s">
        <v>35</v>
      </c>
      <c r="E229" t="s">
        <v>13</v>
      </c>
      <c r="F229">
        <v>1</v>
      </c>
      <c r="G229">
        <v>345.18</v>
      </c>
      <c r="H229">
        <v>345.18</v>
      </c>
      <c r="I229" t="s">
        <v>47</v>
      </c>
      <c r="J229">
        <f xml:space="preserve"> Sales_Data[[#This Row],[Quantity]] * Sales_Data[[#This Row],[Price]]</f>
        <v>345.18</v>
      </c>
      <c r="K229" t="str">
        <f>TEXT(Sales_Data[[#This Row],[Order Date]],"MMM")</f>
        <v>Feb</v>
      </c>
      <c r="L229">
        <f>YEAR(Sales_Data[[#This Row],[Order Date]])</f>
        <v>2023</v>
      </c>
    </row>
    <row r="230" spans="1:12">
      <c r="A230" t="s">
        <v>525</v>
      </c>
      <c r="B230" s="1" t="s">
        <v>526</v>
      </c>
      <c r="C230" t="s">
        <v>102</v>
      </c>
      <c r="D230" t="s">
        <v>12</v>
      </c>
      <c r="E230" t="s">
        <v>13</v>
      </c>
      <c r="F230">
        <v>5</v>
      </c>
      <c r="G230">
        <v>1589.94</v>
      </c>
      <c r="H230">
        <v>7949.7</v>
      </c>
      <c r="I230" t="s">
        <v>23</v>
      </c>
      <c r="J230">
        <f xml:space="preserve"> Sales_Data[[#This Row],[Quantity]] * Sales_Data[[#This Row],[Price]]</f>
        <v>7949.7000000000007</v>
      </c>
      <c r="K230" t="str">
        <f>TEXT(Sales_Data[[#This Row],[Order Date]],"MMM")</f>
        <v>Jun</v>
      </c>
      <c r="L230">
        <f>YEAR(Sales_Data[[#This Row],[Order Date]])</f>
        <v>2023</v>
      </c>
    </row>
    <row r="231" spans="1:12">
      <c r="A231" t="s">
        <v>527</v>
      </c>
      <c r="B231" s="1" t="s">
        <v>460</v>
      </c>
      <c r="C231" t="s">
        <v>265</v>
      </c>
      <c r="D231" t="s">
        <v>51</v>
      </c>
      <c r="E231" t="s">
        <v>52</v>
      </c>
      <c r="F231">
        <v>5</v>
      </c>
      <c r="G231">
        <v>109.45</v>
      </c>
      <c r="H231">
        <v>547.25</v>
      </c>
      <c r="I231" t="s">
        <v>31</v>
      </c>
      <c r="J231">
        <f xml:space="preserve"> Sales_Data[[#This Row],[Quantity]] * Sales_Data[[#This Row],[Price]]</f>
        <v>547.25</v>
      </c>
      <c r="K231" t="str">
        <f>TEXT(Sales_Data[[#This Row],[Order Date]],"MMM")</f>
        <v>Jan</v>
      </c>
      <c r="L231">
        <f>YEAR(Sales_Data[[#This Row],[Order Date]])</f>
        <v>2023</v>
      </c>
    </row>
    <row r="232" spans="1:12">
      <c r="A232" t="s">
        <v>528</v>
      </c>
      <c r="B232" s="1" t="s">
        <v>101</v>
      </c>
      <c r="C232" t="s">
        <v>529</v>
      </c>
      <c r="D232" t="s">
        <v>35</v>
      </c>
      <c r="E232" t="s">
        <v>13</v>
      </c>
      <c r="F232">
        <v>5</v>
      </c>
      <c r="G232">
        <v>1121.8399999999999</v>
      </c>
      <c r="H232">
        <v>5609.2</v>
      </c>
      <c r="I232" t="s">
        <v>47</v>
      </c>
      <c r="J232">
        <f xml:space="preserve"> Sales_Data[[#This Row],[Quantity]] * Sales_Data[[#This Row],[Price]]</f>
        <v>5609.2</v>
      </c>
      <c r="K232" t="str">
        <f>TEXT(Sales_Data[[#This Row],[Order Date]],"MMM")</f>
        <v>May</v>
      </c>
      <c r="L232">
        <f>YEAR(Sales_Data[[#This Row],[Order Date]])</f>
        <v>2023</v>
      </c>
    </row>
    <row r="233" spans="1:12">
      <c r="A233" t="s">
        <v>530</v>
      </c>
      <c r="B233" s="1" t="s">
        <v>513</v>
      </c>
      <c r="C233" t="s">
        <v>345</v>
      </c>
      <c r="D233" t="s">
        <v>12</v>
      </c>
      <c r="E233" t="s">
        <v>13</v>
      </c>
      <c r="F233">
        <v>3</v>
      </c>
      <c r="G233">
        <v>1662.58</v>
      </c>
      <c r="H233">
        <v>4987.74</v>
      </c>
      <c r="I233" t="s">
        <v>23</v>
      </c>
      <c r="J233">
        <f xml:space="preserve"> Sales_Data[[#This Row],[Quantity]] * Sales_Data[[#This Row],[Price]]</f>
        <v>4987.74</v>
      </c>
      <c r="K233" t="str">
        <f>TEXT(Sales_Data[[#This Row],[Order Date]],"MMM")</f>
        <v>Jan</v>
      </c>
      <c r="L233">
        <f>YEAR(Sales_Data[[#This Row],[Order Date]])</f>
        <v>2023</v>
      </c>
    </row>
    <row r="234" spans="1:12">
      <c r="A234" t="s">
        <v>531</v>
      </c>
      <c r="B234" s="1" t="s">
        <v>438</v>
      </c>
      <c r="C234" t="s">
        <v>78</v>
      </c>
      <c r="D234" t="s">
        <v>79</v>
      </c>
      <c r="E234" t="s">
        <v>52</v>
      </c>
      <c r="F234">
        <v>2</v>
      </c>
      <c r="G234">
        <v>1050.26</v>
      </c>
      <c r="H234">
        <v>2100.52</v>
      </c>
      <c r="I234" t="s">
        <v>47</v>
      </c>
      <c r="J234">
        <f xml:space="preserve"> Sales_Data[[#This Row],[Quantity]] * Sales_Data[[#This Row],[Price]]</f>
        <v>2100.52</v>
      </c>
      <c r="K234" t="str">
        <f>TEXT(Sales_Data[[#This Row],[Order Date]],"MMM")</f>
        <v>Jun</v>
      </c>
      <c r="L234">
        <f>YEAR(Sales_Data[[#This Row],[Order Date]])</f>
        <v>2023</v>
      </c>
    </row>
    <row r="235" spans="1:12">
      <c r="A235" t="s">
        <v>532</v>
      </c>
      <c r="B235" s="1" t="s">
        <v>374</v>
      </c>
      <c r="C235" t="s">
        <v>213</v>
      </c>
      <c r="D235" t="s">
        <v>59</v>
      </c>
      <c r="E235" t="s">
        <v>40</v>
      </c>
      <c r="F235">
        <v>5</v>
      </c>
      <c r="G235">
        <v>238.61</v>
      </c>
      <c r="H235">
        <v>1193.05</v>
      </c>
      <c r="I235" t="s">
        <v>23</v>
      </c>
      <c r="J235">
        <f xml:space="preserve"> Sales_Data[[#This Row],[Quantity]] * Sales_Data[[#This Row],[Price]]</f>
        <v>1193.0500000000002</v>
      </c>
      <c r="K235" t="str">
        <f>TEXT(Sales_Data[[#This Row],[Order Date]],"MMM")</f>
        <v>Dec</v>
      </c>
      <c r="L235">
        <f>YEAR(Sales_Data[[#This Row],[Order Date]])</f>
        <v>2023</v>
      </c>
    </row>
    <row r="236" spans="1:12">
      <c r="A236" t="s">
        <v>533</v>
      </c>
      <c r="B236" s="1" t="s">
        <v>534</v>
      </c>
      <c r="C236" t="s">
        <v>121</v>
      </c>
      <c r="D236" t="s">
        <v>18</v>
      </c>
      <c r="E236" t="s">
        <v>19</v>
      </c>
      <c r="F236">
        <v>5</v>
      </c>
      <c r="G236">
        <v>1738.21</v>
      </c>
      <c r="H236">
        <v>8691.0499999999993</v>
      </c>
      <c r="I236" t="s">
        <v>47</v>
      </c>
      <c r="J236">
        <f xml:space="preserve"> Sales_Data[[#This Row],[Quantity]] * Sales_Data[[#This Row],[Price]]</f>
        <v>8691.0499999999993</v>
      </c>
      <c r="K236" t="str">
        <f>TEXT(Sales_Data[[#This Row],[Order Date]],"MMM")</f>
        <v>Jul</v>
      </c>
      <c r="L236">
        <f>YEAR(Sales_Data[[#This Row],[Order Date]])</f>
        <v>2023</v>
      </c>
    </row>
    <row r="237" spans="1:12">
      <c r="A237" t="s">
        <v>535</v>
      </c>
      <c r="B237" s="1" t="s">
        <v>536</v>
      </c>
      <c r="C237" t="s">
        <v>480</v>
      </c>
      <c r="D237" t="s">
        <v>30</v>
      </c>
      <c r="E237" t="s">
        <v>19</v>
      </c>
      <c r="F237">
        <v>2</v>
      </c>
      <c r="G237">
        <v>1793.79</v>
      </c>
      <c r="H237">
        <v>3587.58</v>
      </c>
      <c r="I237" t="s">
        <v>14</v>
      </c>
      <c r="J237">
        <f xml:space="preserve"> Sales_Data[[#This Row],[Quantity]] * Sales_Data[[#This Row],[Price]]</f>
        <v>3587.58</v>
      </c>
      <c r="K237" t="str">
        <f>TEXT(Sales_Data[[#This Row],[Order Date]],"MMM")</f>
        <v>May</v>
      </c>
      <c r="L237">
        <f>YEAR(Sales_Data[[#This Row],[Order Date]])</f>
        <v>2023</v>
      </c>
    </row>
    <row r="238" spans="1:12">
      <c r="A238" t="s">
        <v>537</v>
      </c>
      <c r="B238" s="1" t="s">
        <v>233</v>
      </c>
      <c r="C238" t="s">
        <v>538</v>
      </c>
      <c r="D238" t="s">
        <v>110</v>
      </c>
      <c r="E238" t="s">
        <v>52</v>
      </c>
      <c r="F238">
        <v>3</v>
      </c>
      <c r="G238">
        <v>1832.95</v>
      </c>
      <c r="H238">
        <v>5498.85</v>
      </c>
      <c r="I238" t="s">
        <v>23</v>
      </c>
      <c r="J238">
        <f xml:space="preserve"> Sales_Data[[#This Row],[Quantity]] * Sales_Data[[#This Row],[Price]]</f>
        <v>5498.85</v>
      </c>
      <c r="K238" t="str">
        <f>TEXT(Sales_Data[[#This Row],[Order Date]],"MMM")</f>
        <v>Dec</v>
      </c>
      <c r="L238">
        <f>YEAR(Sales_Data[[#This Row],[Order Date]])</f>
        <v>2023</v>
      </c>
    </row>
    <row r="239" spans="1:12">
      <c r="A239" t="s">
        <v>539</v>
      </c>
      <c r="B239" s="1" t="s">
        <v>540</v>
      </c>
      <c r="C239" t="s">
        <v>541</v>
      </c>
      <c r="D239" t="s">
        <v>18</v>
      </c>
      <c r="E239" t="s">
        <v>19</v>
      </c>
      <c r="F239">
        <v>3</v>
      </c>
      <c r="G239">
        <v>952.87</v>
      </c>
      <c r="H239">
        <v>2858.61</v>
      </c>
      <c r="I239" t="s">
        <v>14</v>
      </c>
      <c r="J239">
        <f xml:space="preserve"> Sales_Data[[#This Row],[Quantity]] * Sales_Data[[#This Row],[Price]]</f>
        <v>2858.61</v>
      </c>
      <c r="K239" t="str">
        <f>TEXT(Sales_Data[[#This Row],[Order Date]],"MMM")</f>
        <v>Feb</v>
      </c>
      <c r="L239">
        <f>YEAR(Sales_Data[[#This Row],[Order Date]])</f>
        <v>2023</v>
      </c>
    </row>
    <row r="240" spans="1:12">
      <c r="A240" t="s">
        <v>542</v>
      </c>
      <c r="B240" s="1" t="s">
        <v>482</v>
      </c>
      <c r="C240" t="s">
        <v>313</v>
      </c>
      <c r="D240" t="s">
        <v>51</v>
      </c>
      <c r="E240" t="s">
        <v>52</v>
      </c>
      <c r="F240">
        <v>3</v>
      </c>
      <c r="G240">
        <v>1246.23</v>
      </c>
      <c r="H240">
        <v>3738.69</v>
      </c>
      <c r="I240" t="s">
        <v>31</v>
      </c>
      <c r="J240">
        <f xml:space="preserve"> Sales_Data[[#This Row],[Quantity]] * Sales_Data[[#This Row],[Price]]</f>
        <v>3738.69</v>
      </c>
      <c r="K240" t="str">
        <f>TEXT(Sales_Data[[#This Row],[Order Date]],"MMM")</f>
        <v>Oct</v>
      </c>
      <c r="L240">
        <f>YEAR(Sales_Data[[#This Row],[Order Date]])</f>
        <v>2023</v>
      </c>
    </row>
    <row r="241" spans="1:12">
      <c r="A241" t="s">
        <v>543</v>
      </c>
      <c r="B241" s="1" t="s">
        <v>544</v>
      </c>
      <c r="C241" t="s">
        <v>29</v>
      </c>
      <c r="D241" t="s">
        <v>18</v>
      </c>
      <c r="E241" t="s">
        <v>19</v>
      </c>
      <c r="F241">
        <v>4</v>
      </c>
      <c r="G241">
        <v>1611.61</v>
      </c>
      <c r="H241">
        <v>6446.44</v>
      </c>
      <c r="I241" t="s">
        <v>23</v>
      </c>
      <c r="J241">
        <f xml:space="preserve"> Sales_Data[[#This Row],[Quantity]] * Sales_Data[[#This Row],[Price]]</f>
        <v>6446.44</v>
      </c>
      <c r="K241" t="str">
        <f>TEXT(Sales_Data[[#This Row],[Order Date]],"MMM")</f>
        <v>Mar</v>
      </c>
      <c r="L241">
        <f>YEAR(Sales_Data[[#This Row],[Order Date]])</f>
        <v>2023</v>
      </c>
    </row>
    <row r="242" spans="1:12">
      <c r="A242" t="s">
        <v>545</v>
      </c>
      <c r="B242" s="1" t="s">
        <v>339</v>
      </c>
      <c r="C242" t="s">
        <v>371</v>
      </c>
      <c r="D242" t="s">
        <v>79</v>
      </c>
      <c r="E242" t="s">
        <v>52</v>
      </c>
      <c r="F242">
        <v>5</v>
      </c>
      <c r="G242">
        <v>913.5</v>
      </c>
      <c r="H242">
        <v>4567.5</v>
      </c>
      <c r="I242" t="s">
        <v>23</v>
      </c>
      <c r="J242">
        <f xml:space="preserve"> Sales_Data[[#This Row],[Quantity]] * Sales_Data[[#This Row],[Price]]</f>
        <v>4567.5</v>
      </c>
      <c r="K242" t="str">
        <f>TEXT(Sales_Data[[#This Row],[Order Date]],"MMM")</f>
        <v>Apr</v>
      </c>
      <c r="L242">
        <f>YEAR(Sales_Data[[#This Row],[Order Date]])</f>
        <v>2023</v>
      </c>
    </row>
    <row r="243" spans="1:12">
      <c r="A243" t="s">
        <v>546</v>
      </c>
      <c r="B243" s="1" t="s">
        <v>325</v>
      </c>
      <c r="C243" t="s">
        <v>99</v>
      </c>
      <c r="D243" t="s">
        <v>35</v>
      </c>
      <c r="E243" t="s">
        <v>13</v>
      </c>
      <c r="F243">
        <v>4</v>
      </c>
      <c r="G243">
        <v>317.41000000000003</v>
      </c>
      <c r="H243">
        <v>1269.6400000000001</v>
      </c>
      <c r="I243" t="s">
        <v>14</v>
      </c>
      <c r="J243">
        <f xml:space="preserve"> Sales_Data[[#This Row],[Quantity]] * Sales_Data[[#This Row],[Price]]</f>
        <v>1269.6400000000001</v>
      </c>
      <c r="K243" t="str">
        <f>TEXT(Sales_Data[[#This Row],[Order Date]],"MMM")</f>
        <v>Jun</v>
      </c>
      <c r="L243">
        <f>YEAR(Sales_Data[[#This Row],[Order Date]])</f>
        <v>2023</v>
      </c>
    </row>
    <row r="244" spans="1:12">
      <c r="A244" t="s">
        <v>547</v>
      </c>
      <c r="B244" s="1" t="s">
        <v>256</v>
      </c>
      <c r="C244" t="s">
        <v>548</v>
      </c>
      <c r="D244" t="s">
        <v>79</v>
      </c>
      <c r="E244" t="s">
        <v>52</v>
      </c>
      <c r="F244">
        <v>2</v>
      </c>
      <c r="G244">
        <v>1924.33</v>
      </c>
      <c r="H244">
        <v>3848.66</v>
      </c>
      <c r="I244" t="s">
        <v>14</v>
      </c>
      <c r="J244">
        <f xml:space="preserve"> Sales_Data[[#This Row],[Quantity]] * Sales_Data[[#This Row],[Price]]</f>
        <v>3848.66</v>
      </c>
      <c r="K244" t="str">
        <f>TEXT(Sales_Data[[#This Row],[Order Date]],"MMM")</f>
        <v>Mar</v>
      </c>
      <c r="L244">
        <f>YEAR(Sales_Data[[#This Row],[Order Date]])</f>
        <v>2023</v>
      </c>
    </row>
    <row r="245" spans="1:12">
      <c r="A245" t="s">
        <v>549</v>
      </c>
      <c r="B245" s="1" t="s">
        <v>262</v>
      </c>
      <c r="C245" t="s">
        <v>73</v>
      </c>
      <c r="D245" t="s">
        <v>18</v>
      </c>
      <c r="E245" t="s">
        <v>19</v>
      </c>
      <c r="F245">
        <v>2</v>
      </c>
      <c r="G245">
        <v>1590.09</v>
      </c>
      <c r="H245">
        <v>3180.18</v>
      </c>
      <c r="I245" t="s">
        <v>23</v>
      </c>
      <c r="J245">
        <f xml:space="preserve"> Sales_Data[[#This Row],[Quantity]] * Sales_Data[[#This Row],[Price]]</f>
        <v>3180.18</v>
      </c>
      <c r="K245" t="str">
        <f>TEXT(Sales_Data[[#This Row],[Order Date]],"MMM")</f>
        <v>Oct</v>
      </c>
      <c r="L245">
        <f>YEAR(Sales_Data[[#This Row],[Order Date]])</f>
        <v>2023</v>
      </c>
    </row>
    <row r="246" spans="1:12">
      <c r="A246" t="s">
        <v>550</v>
      </c>
      <c r="B246" s="1" t="s">
        <v>54</v>
      </c>
      <c r="C246" t="s">
        <v>337</v>
      </c>
      <c r="D246" t="s">
        <v>30</v>
      </c>
      <c r="E246" t="s">
        <v>19</v>
      </c>
      <c r="F246">
        <v>1</v>
      </c>
      <c r="G246">
        <v>942.24</v>
      </c>
      <c r="H246">
        <v>942.24</v>
      </c>
      <c r="I246" t="s">
        <v>14</v>
      </c>
      <c r="J246">
        <f xml:space="preserve"> Sales_Data[[#This Row],[Quantity]] * Sales_Data[[#This Row],[Price]]</f>
        <v>942.24</v>
      </c>
      <c r="K246" t="str">
        <f>TEXT(Sales_Data[[#This Row],[Order Date]],"MMM")</f>
        <v>Dec</v>
      </c>
      <c r="L246">
        <f>YEAR(Sales_Data[[#This Row],[Order Date]])</f>
        <v>2023</v>
      </c>
    </row>
    <row r="247" spans="1:12">
      <c r="A247" t="s">
        <v>551</v>
      </c>
      <c r="B247" s="1" t="s">
        <v>505</v>
      </c>
      <c r="C247" t="s">
        <v>358</v>
      </c>
      <c r="D247" t="s">
        <v>110</v>
      </c>
      <c r="E247" t="s">
        <v>52</v>
      </c>
      <c r="F247">
        <v>2</v>
      </c>
      <c r="G247">
        <v>453.69</v>
      </c>
      <c r="H247">
        <v>907.38</v>
      </c>
      <c r="I247" t="s">
        <v>31</v>
      </c>
      <c r="J247">
        <f xml:space="preserve"> Sales_Data[[#This Row],[Quantity]] * Sales_Data[[#This Row],[Price]]</f>
        <v>907.38</v>
      </c>
      <c r="K247" t="str">
        <f>TEXT(Sales_Data[[#This Row],[Order Date]],"MMM")</f>
        <v>Jun</v>
      </c>
      <c r="L247">
        <f>YEAR(Sales_Data[[#This Row],[Order Date]])</f>
        <v>2023</v>
      </c>
    </row>
    <row r="248" spans="1:12">
      <c r="A248" t="s">
        <v>552</v>
      </c>
      <c r="B248" s="1" t="s">
        <v>553</v>
      </c>
      <c r="C248" t="s">
        <v>480</v>
      </c>
      <c r="D248" t="s">
        <v>18</v>
      </c>
      <c r="E248" t="s">
        <v>19</v>
      </c>
      <c r="F248">
        <v>4</v>
      </c>
      <c r="G248">
        <v>541.41</v>
      </c>
      <c r="H248">
        <v>2165.64</v>
      </c>
      <c r="I248" t="s">
        <v>23</v>
      </c>
      <c r="J248">
        <f xml:space="preserve"> Sales_Data[[#This Row],[Quantity]] * Sales_Data[[#This Row],[Price]]</f>
        <v>2165.64</v>
      </c>
      <c r="K248" t="str">
        <f>TEXT(Sales_Data[[#This Row],[Order Date]],"MMM")</f>
        <v>Oct</v>
      </c>
      <c r="L248">
        <f>YEAR(Sales_Data[[#This Row],[Order Date]])</f>
        <v>2023</v>
      </c>
    </row>
    <row r="249" spans="1:12">
      <c r="A249" t="s">
        <v>554</v>
      </c>
      <c r="B249" s="1" t="s">
        <v>336</v>
      </c>
      <c r="C249" t="s">
        <v>555</v>
      </c>
      <c r="D249" t="s">
        <v>79</v>
      </c>
      <c r="E249" t="s">
        <v>52</v>
      </c>
      <c r="F249">
        <v>5</v>
      </c>
      <c r="G249">
        <v>456.27</v>
      </c>
      <c r="H249">
        <v>2281.35</v>
      </c>
      <c r="I249" t="s">
        <v>14</v>
      </c>
      <c r="J249">
        <f xml:space="preserve"> Sales_Data[[#This Row],[Quantity]] * Sales_Data[[#This Row],[Price]]</f>
        <v>2281.35</v>
      </c>
      <c r="K249" t="str">
        <f>TEXT(Sales_Data[[#This Row],[Order Date]],"MMM")</f>
        <v>Sept</v>
      </c>
      <c r="L249">
        <f>YEAR(Sales_Data[[#This Row],[Order Date]])</f>
        <v>2023</v>
      </c>
    </row>
    <row r="250" spans="1:12">
      <c r="A250" t="s">
        <v>556</v>
      </c>
      <c r="B250" s="1" t="s">
        <v>557</v>
      </c>
      <c r="C250" t="s">
        <v>403</v>
      </c>
      <c r="D250" t="s">
        <v>35</v>
      </c>
      <c r="E250" t="s">
        <v>13</v>
      </c>
      <c r="F250">
        <v>1</v>
      </c>
      <c r="G250">
        <v>244.89</v>
      </c>
      <c r="H250">
        <v>244.89</v>
      </c>
      <c r="I250" t="s">
        <v>47</v>
      </c>
      <c r="J250">
        <f xml:space="preserve"> Sales_Data[[#This Row],[Quantity]] * Sales_Data[[#This Row],[Price]]</f>
        <v>244.89</v>
      </c>
      <c r="K250" t="str">
        <f>TEXT(Sales_Data[[#This Row],[Order Date]],"MMM")</f>
        <v>Feb</v>
      </c>
      <c r="L250">
        <f>YEAR(Sales_Data[[#This Row],[Order Date]])</f>
        <v>2023</v>
      </c>
    </row>
    <row r="251" spans="1:12">
      <c r="A251" t="s">
        <v>558</v>
      </c>
      <c r="B251" s="1" t="s">
        <v>505</v>
      </c>
      <c r="C251" t="s">
        <v>480</v>
      </c>
      <c r="D251" t="s">
        <v>39</v>
      </c>
      <c r="E251" t="s">
        <v>40</v>
      </c>
      <c r="F251">
        <v>4</v>
      </c>
      <c r="G251">
        <v>1068.3</v>
      </c>
      <c r="H251">
        <v>4273.2</v>
      </c>
      <c r="I251" t="s">
        <v>47</v>
      </c>
      <c r="J251">
        <f xml:space="preserve"> Sales_Data[[#This Row],[Quantity]] * Sales_Data[[#This Row],[Price]]</f>
        <v>4273.2</v>
      </c>
      <c r="K251" t="str">
        <f>TEXT(Sales_Data[[#This Row],[Order Date]],"MMM")</f>
        <v>Jun</v>
      </c>
      <c r="L251">
        <f>YEAR(Sales_Data[[#This Row],[Order Date]])</f>
        <v>2023</v>
      </c>
    </row>
    <row r="252" spans="1:12">
      <c r="A252" t="s">
        <v>559</v>
      </c>
      <c r="B252" s="1" t="s">
        <v>560</v>
      </c>
      <c r="C252" t="s">
        <v>50</v>
      </c>
      <c r="D252" t="s">
        <v>110</v>
      </c>
      <c r="E252" t="s">
        <v>52</v>
      </c>
      <c r="F252">
        <v>5</v>
      </c>
      <c r="G252">
        <v>839.43</v>
      </c>
      <c r="H252">
        <v>4197.1499999999996</v>
      </c>
      <c r="I252" t="s">
        <v>23</v>
      </c>
      <c r="J252">
        <f xml:space="preserve"> Sales_Data[[#This Row],[Quantity]] * Sales_Data[[#This Row],[Price]]</f>
        <v>4197.1499999999996</v>
      </c>
      <c r="K252" t="str">
        <f>TEXT(Sales_Data[[#This Row],[Order Date]],"MMM")</f>
        <v>Apr</v>
      </c>
      <c r="L252">
        <f>YEAR(Sales_Data[[#This Row],[Order Date]])</f>
        <v>2023</v>
      </c>
    </row>
    <row r="253" spans="1:12">
      <c r="A253" t="s">
        <v>561</v>
      </c>
      <c r="B253" s="1" t="s">
        <v>487</v>
      </c>
      <c r="C253" t="s">
        <v>186</v>
      </c>
      <c r="D253" t="s">
        <v>79</v>
      </c>
      <c r="E253" t="s">
        <v>52</v>
      </c>
      <c r="F253">
        <v>1</v>
      </c>
      <c r="G253">
        <v>116.61</v>
      </c>
      <c r="H253">
        <v>116.61</v>
      </c>
      <c r="I253" t="s">
        <v>31</v>
      </c>
      <c r="J253">
        <f xml:space="preserve"> Sales_Data[[#This Row],[Quantity]] * Sales_Data[[#This Row],[Price]]</f>
        <v>116.61</v>
      </c>
      <c r="K253" t="str">
        <f>TEXT(Sales_Data[[#This Row],[Order Date]],"MMM")</f>
        <v>Apr</v>
      </c>
      <c r="L253">
        <f>YEAR(Sales_Data[[#This Row],[Order Date]])</f>
        <v>2023</v>
      </c>
    </row>
    <row r="254" spans="1:12">
      <c r="A254" t="s">
        <v>562</v>
      </c>
      <c r="B254" s="1" t="s">
        <v>563</v>
      </c>
      <c r="C254" t="s">
        <v>55</v>
      </c>
      <c r="D254" t="s">
        <v>35</v>
      </c>
      <c r="E254" t="s">
        <v>13</v>
      </c>
      <c r="F254">
        <v>2</v>
      </c>
      <c r="G254">
        <v>302.7</v>
      </c>
      <c r="H254">
        <v>605.4</v>
      </c>
      <c r="I254" t="s">
        <v>47</v>
      </c>
      <c r="J254">
        <f xml:space="preserve"> Sales_Data[[#This Row],[Quantity]] * Sales_Data[[#This Row],[Price]]</f>
        <v>605.4</v>
      </c>
      <c r="K254" t="str">
        <f>TEXT(Sales_Data[[#This Row],[Order Date]],"MMM")</f>
        <v>Nov</v>
      </c>
      <c r="L254">
        <f>YEAR(Sales_Data[[#This Row],[Order Date]])</f>
        <v>2023</v>
      </c>
    </row>
    <row r="255" spans="1:12">
      <c r="A255" t="s">
        <v>564</v>
      </c>
      <c r="B255" s="1" t="s">
        <v>380</v>
      </c>
      <c r="C255" t="s">
        <v>378</v>
      </c>
      <c r="D255" t="s">
        <v>79</v>
      </c>
      <c r="E255" t="s">
        <v>52</v>
      </c>
      <c r="F255">
        <v>1</v>
      </c>
      <c r="G255">
        <v>1832.09</v>
      </c>
      <c r="H255">
        <v>1832.09</v>
      </c>
      <c r="I255" t="s">
        <v>23</v>
      </c>
      <c r="J255">
        <f xml:space="preserve"> Sales_Data[[#This Row],[Quantity]] * Sales_Data[[#This Row],[Price]]</f>
        <v>1832.09</v>
      </c>
      <c r="K255" t="str">
        <f>TEXT(Sales_Data[[#This Row],[Order Date]],"MMM")</f>
        <v>Jun</v>
      </c>
      <c r="L255">
        <f>YEAR(Sales_Data[[#This Row],[Order Date]])</f>
        <v>2023</v>
      </c>
    </row>
    <row r="256" spans="1:12">
      <c r="A256" t="s">
        <v>565</v>
      </c>
      <c r="B256" s="1" t="s">
        <v>305</v>
      </c>
      <c r="C256" t="s">
        <v>17</v>
      </c>
      <c r="D256" t="s">
        <v>35</v>
      </c>
      <c r="E256" t="s">
        <v>13</v>
      </c>
      <c r="F256">
        <v>3</v>
      </c>
      <c r="G256">
        <v>1759.8</v>
      </c>
      <c r="H256">
        <v>5279.4</v>
      </c>
      <c r="I256" t="s">
        <v>23</v>
      </c>
      <c r="J256">
        <f xml:space="preserve"> Sales_Data[[#This Row],[Quantity]] * Sales_Data[[#This Row],[Price]]</f>
        <v>5279.4</v>
      </c>
      <c r="K256" t="str">
        <f>TEXT(Sales_Data[[#This Row],[Order Date]],"MMM")</f>
        <v>Jul</v>
      </c>
      <c r="L256">
        <f>YEAR(Sales_Data[[#This Row],[Order Date]])</f>
        <v>2023</v>
      </c>
    </row>
    <row r="257" spans="1:12">
      <c r="A257" t="s">
        <v>566</v>
      </c>
      <c r="B257" s="1" t="s">
        <v>262</v>
      </c>
      <c r="C257" t="s">
        <v>496</v>
      </c>
      <c r="D257" t="s">
        <v>35</v>
      </c>
      <c r="E257" t="s">
        <v>13</v>
      </c>
      <c r="F257">
        <v>4</v>
      </c>
      <c r="G257">
        <v>873.15</v>
      </c>
      <c r="H257">
        <v>3492.6</v>
      </c>
      <c r="I257" t="s">
        <v>31</v>
      </c>
      <c r="J257">
        <f xml:space="preserve"> Sales_Data[[#This Row],[Quantity]] * Sales_Data[[#This Row],[Price]]</f>
        <v>3492.6</v>
      </c>
      <c r="K257" t="str">
        <f>TEXT(Sales_Data[[#This Row],[Order Date]],"MMM")</f>
        <v>Oct</v>
      </c>
      <c r="L257">
        <f>YEAR(Sales_Data[[#This Row],[Order Date]])</f>
        <v>2023</v>
      </c>
    </row>
    <row r="258" spans="1:12">
      <c r="A258" t="s">
        <v>567</v>
      </c>
      <c r="B258" s="1" t="s">
        <v>482</v>
      </c>
      <c r="C258" t="s">
        <v>192</v>
      </c>
      <c r="D258" t="s">
        <v>39</v>
      </c>
      <c r="E258" t="s">
        <v>40</v>
      </c>
      <c r="F258">
        <v>4</v>
      </c>
      <c r="G258">
        <v>548.76</v>
      </c>
      <c r="H258">
        <v>2195.04</v>
      </c>
      <c r="I258" t="s">
        <v>31</v>
      </c>
      <c r="J258">
        <f xml:space="preserve"> Sales_Data[[#This Row],[Quantity]] * Sales_Data[[#This Row],[Price]]</f>
        <v>2195.04</v>
      </c>
      <c r="K258" t="str">
        <f>TEXT(Sales_Data[[#This Row],[Order Date]],"MMM")</f>
        <v>Oct</v>
      </c>
      <c r="L258">
        <f>YEAR(Sales_Data[[#This Row],[Order Date]])</f>
        <v>2023</v>
      </c>
    </row>
    <row r="259" spans="1:12">
      <c r="A259" t="s">
        <v>568</v>
      </c>
      <c r="B259" s="1" t="s">
        <v>109</v>
      </c>
      <c r="C259" t="s">
        <v>313</v>
      </c>
      <c r="D259" t="s">
        <v>59</v>
      </c>
      <c r="E259" t="s">
        <v>40</v>
      </c>
      <c r="F259">
        <v>1</v>
      </c>
      <c r="G259">
        <v>1798.68</v>
      </c>
      <c r="H259">
        <v>1798.68</v>
      </c>
      <c r="I259" t="s">
        <v>31</v>
      </c>
      <c r="J259">
        <f xml:space="preserve"> Sales_Data[[#This Row],[Quantity]] * Sales_Data[[#This Row],[Price]]</f>
        <v>1798.68</v>
      </c>
      <c r="K259" t="str">
        <f>TEXT(Sales_Data[[#This Row],[Order Date]],"MMM")</f>
        <v>Jan</v>
      </c>
      <c r="L259">
        <f>YEAR(Sales_Data[[#This Row],[Order Date]])</f>
        <v>2023</v>
      </c>
    </row>
    <row r="260" spans="1:12">
      <c r="A260" t="s">
        <v>569</v>
      </c>
      <c r="B260" s="1" t="s">
        <v>331</v>
      </c>
      <c r="C260" t="s">
        <v>219</v>
      </c>
      <c r="D260" t="s">
        <v>35</v>
      </c>
      <c r="E260" t="s">
        <v>13</v>
      </c>
      <c r="F260">
        <v>3</v>
      </c>
      <c r="G260">
        <v>1772.39</v>
      </c>
      <c r="H260">
        <v>5317.17</v>
      </c>
      <c r="I260" t="s">
        <v>47</v>
      </c>
      <c r="J260">
        <f xml:space="preserve"> Sales_Data[[#This Row],[Quantity]] * Sales_Data[[#This Row],[Price]]</f>
        <v>5317.17</v>
      </c>
      <c r="K260" t="str">
        <f>TEXT(Sales_Data[[#This Row],[Order Date]],"MMM")</f>
        <v>Sept</v>
      </c>
      <c r="L260">
        <f>YEAR(Sales_Data[[#This Row],[Order Date]])</f>
        <v>2023</v>
      </c>
    </row>
    <row r="261" spans="1:12">
      <c r="A261" t="s">
        <v>570</v>
      </c>
      <c r="B261" s="1" t="s">
        <v>84</v>
      </c>
      <c r="C261" t="s">
        <v>96</v>
      </c>
      <c r="D261" t="s">
        <v>12</v>
      </c>
      <c r="E261" t="s">
        <v>13</v>
      </c>
      <c r="F261">
        <v>3</v>
      </c>
      <c r="G261">
        <v>1273.49</v>
      </c>
      <c r="H261">
        <v>3820.47</v>
      </c>
      <c r="I261" t="s">
        <v>23</v>
      </c>
      <c r="J261">
        <f xml:space="preserve"> Sales_Data[[#This Row],[Quantity]] * Sales_Data[[#This Row],[Price]]</f>
        <v>3820.4700000000003</v>
      </c>
      <c r="K261" t="str">
        <f>TEXT(Sales_Data[[#This Row],[Order Date]],"MMM")</f>
        <v>Dec</v>
      </c>
      <c r="L261">
        <f>YEAR(Sales_Data[[#This Row],[Order Date]])</f>
        <v>2023</v>
      </c>
    </row>
    <row r="262" spans="1:12">
      <c r="A262" t="s">
        <v>571</v>
      </c>
      <c r="B262" s="1" t="s">
        <v>413</v>
      </c>
      <c r="C262" t="s">
        <v>378</v>
      </c>
      <c r="D262" t="s">
        <v>12</v>
      </c>
      <c r="E262" t="s">
        <v>13</v>
      </c>
      <c r="F262">
        <v>3</v>
      </c>
      <c r="G262">
        <v>1805.64</v>
      </c>
      <c r="H262">
        <v>5416.92</v>
      </c>
      <c r="I262" t="s">
        <v>14</v>
      </c>
      <c r="J262">
        <f xml:space="preserve"> Sales_Data[[#This Row],[Quantity]] * Sales_Data[[#This Row],[Price]]</f>
        <v>5416.92</v>
      </c>
      <c r="K262" t="str">
        <f>TEXT(Sales_Data[[#This Row],[Order Date]],"MMM")</f>
        <v>Sept</v>
      </c>
      <c r="L262">
        <f>YEAR(Sales_Data[[#This Row],[Order Date]])</f>
        <v>2023</v>
      </c>
    </row>
    <row r="263" spans="1:12">
      <c r="A263" t="s">
        <v>572</v>
      </c>
      <c r="B263" s="1" t="s">
        <v>573</v>
      </c>
      <c r="C263" t="s">
        <v>118</v>
      </c>
      <c r="D263" t="s">
        <v>51</v>
      </c>
      <c r="E263" t="s">
        <v>52</v>
      </c>
      <c r="F263">
        <v>4</v>
      </c>
      <c r="G263">
        <v>1576.57</v>
      </c>
      <c r="H263">
        <v>6306.28</v>
      </c>
      <c r="I263" t="s">
        <v>23</v>
      </c>
      <c r="J263">
        <f xml:space="preserve"> Sales_Data[[#This Row],[Quantity]] * Sales_Data[[#This Row],[Price]]</f>
        <v>6306.28</v>
      </c>
      <c r="K263" t="str">
        <f>TEXT(Sales_Data[[#This Row],[Order Date]],"MMM")</f>
        <v>May</v>
      </c>
      <c r="L263">
        <f>YEAR(Sales_Data[[#This Row],[Order Date]])</f>
        <v>2023</v>
      </c>
    </row>
    <row r="264" spans="1:12">
      <c r="A264" t="s">
        <v>574</v>
      </c>
      <c r="B264" s="1" t="s">
        <v>134</v>
      </c>
      <c r="C264" t="s">
        <v>34</v>
      </c>
      <c r="D264" t="s">
        <v>79</v>
      </c>
      <c r="E264" t="s">
        <v>52</v>
      </c>
      <c r="F264">
        <v>5</v>
      </c>
      <c r="G264">
        <v>1510.6</v>
      </c>
      <c r="H264">
        <v>7553</v>
      </c>
      <c r="I264" t="s">
        <v>14</v>
      </c>
      <c r="J264">
        <f xml:space="preserve"> Sales_Data[[#This Row],[Quantity]] * Sales_Data[[#This Row],[Price]]</f>
        <v>7553</v>
      </c>
      <c r="K264" t="str">
        <f>TEXT(Sales_Data[[#This Row],[Order Date]],"MMM")</f>
        <v>Aug</v>
      </c>
      <c r="L264">
        <f>YEAR(Sales_Data[[#This Row],[Order Date]])</f>
        <v>2023</v>
      </c>
    </row>
    <row r="265" spans="1:12">
      <c r="A265" t="s">
        <v>575</v>
      </c>
      <c r="B265" s="1" t="s">
        <v>334</v>
      </c>
      <c r="C265" t="s">
        <v>213</v>
      </c>
      <c r="D265" t="s">
        <v>30</v>
      </c>
      <c r="E265" t="s">
        <v>19</v>
      </c>
      <c r="F265">
        <v>1</v>
      </c>
      <c r="G265">
        <v>1224.1600000000001</v>
      </c>
      <c r="H265">
        <v>1224.1600000000001</v>
      </c>
      <c r="I265" t="s">
        <v>31</v>
      </c>
      <c r="J265">
        <f xml:space="preserve"> Sales_Data[[#This Row],[Quantity]] * Sales_Data[[#This Row],[Price]]</f>
        <v>1224.1600000000001</v>
      </c>
      <c r="K265" t="str">
        <f>TEXT(Sales_Data[[#This Row],[Order Date]],"MMM")</f>
        <v>Sept</v>
      </c>
      <c r="L265">
        <f>YEAR(Sales_Data[[#This Row],[Order Date]])</f>
        <v>2023</v>
      </c>
    </row>
    <row r="266" spans="1:12">
      <c r="A266" t="s">
        <v>576</v>
      </c>
      <c r="B266" s="1" t="s">
        <v>305</v>
      </c>
      <c r="C266" t="s">
        <v>102</v>
      </c>
      <c r="D266" t="s">
        <v>30</v>
      </c>
      <c r="E266" t="s">
        <v>19</v>
      </c>
      <c r="F266">
        <v>2</v>
      </c>
      <c r="G266">
        <v>691.5</v>
      </c>
      <c r="H266">
        <v>1383</v>
      </c>
      <c r="I266" t="s">
        <v>23</v>
      </c>
      <c r="J266">
        <f xml:space="preserve"> Sales_Data[[#This Row],[Quantity]] * Sales_Data[[#This Row],[Price]]</f>
        <v>1383</v>
      </c>
      <c r="K266" t="str">
        <f>TEXT(Sales_Data[[#This Row],[Order Date]],"MMM")</f>
        <v>Jul</v>
      </c>
      <c r="L266">
        <f>YEAR(Sales_Data[[#This Row],[Order Date]])</f>
        <v>2023</v>
      </c>
    </row>
    <row r="267" spans="1:12">
      <c r="A267" t="s">
        <v>577</v>
      </c>
      <c r="B267" s="1" t="s">
        <v>443</v>
      </c>
      <c r="C267" t="s">
        <v>231</v>
      </c>
      <c r="D267" t="s">
        <v>18</v>
      </c>
      <c r="E267" t="s">
        <v>19</v>
      </c>
      <c r="F267">
        <v>5</v>
      </c>
      <c r="G267">
        <v>980.6</v>
      </c>
      <c r="H267">
        <v>4903</v>
      </c>
      <c r="I267" t="s">
        <v>31</v>
      </c>
      <c r="J267">
        <f xml:space="preserve"> Sales_Data[[#This Row],[Quantity]] * Sales_Data[[#This Row],[Price]]</f>
        <v>4903</v>
      </c>
      <c r="K267" t="str">
        <f>TEXT(Sales_Data[[#This Row],[Order Date]],"MMM")</f>
        <v>Jan</v>
      </c>
      <c r="L267">
        <f>YEAR(Sales_Data[[#This Row],[Order Date]])</f>
        <v>2023</v>
      </c>
    </row>
    <row r="268" spans="1:12">
      <c r="A268" t="s">
        <v>578</v>
      </c>
      <c r="B268" s="1" t="s">
        <v>33</v>
      </c>
      <c r="C268" t="s">
        <v>429</v>
      </c>
      <c r="D268" t="s">
        <v>12</v>
      </c>
      <c r="E268" t="s">
        <v>13</v>
      </c>
      <c r="F268">
        <v>3</v>
      </c>
      <c r="G268">
        <v>1743.75</v>
      </c>
      <c r="H268">
        <v>5231.25</v>
      </c>
      <c r="I268" t="s">
        <v>23</v>
      </c>
      <c r="J268">
        <f xml:space="preserve"> Sales_Data[[#This Row],[Quantity]] * Sales_Data[[#This Row],[Price]]</f>
        <v>5231.25</v>
      </c>
      <c r="K268" t="str">
        <f>TEXT(Sales_Data[[#This Row],[Order Date]],"MMM")</f>
        <v>Dec</v>
      </c>
      <c r="L268">
        <f>YEAR(Sales_Data[[#This Row],[Order Date]])</f>
        <v>2023</v>
      </c>
    </row>
    <row r="269" spans="1:12">
      <c r="A269" t="s">
        <v>579</v>
      </c>
      <c r="B269" s="1" t="s">
        <v>385</v>
      </c>
      <c r="C269" t="s">
        <v>287</v>
      </c>
      <c r="D269" t="s">
        <v>51</v>
      </c>
      <c r="E269" t="s">
        <v>52</v>
      </c>
      <c r="F269">
        <v>4</v>
      </c>
      <c r="G269">
        <v>1810.82</v>
      </c>
      <c r="H269">
        <v>7243.28</v>
      </c>
      <c r="I269" t="s">
        <v>47</v>
      </c>
      <c r="J269">
        <f xml:space="preserve"> Sales_Data[[#This Row],[Quantity]] * Sales_Data[[#This Row],[Price]]</f>
        <v>7243.28</v>
      </c>
      <c r="K269" t="str">
        <f>TEXT(Sales_Data[[#This Row],[Order Date]],"MMM")</f>
        <v>Dec</v>
      </c>
      <c r="L269">
        <f>YEAR(Sales_Data[[#This Row],[Order Date]])</f>
        <v>2023</v>
      </c>
    </row>
    <row r="270" spans="1:12">
      <c r="A270" t="s">
        <v>580</v>
      </c>
      <c r="B270" s="1" t="s">
        <v>237</v>
      </c>
      <c r="C270" t="s">
        <v>581</v>
      </c>
      <c r="D270" t="s">
        <v>110</v>
      </c>
      <c r="E270" t="s">
        <v>52</v>
      </c>
      <c r="F270">
        <v>1</v>
      </c>
      <c r="G270">
        <v>897.06</v>
      </c>
      <c r="H270">
        <v>897.06</v>
      </c>
      <c r="I270" t="s">
        <v>14</v>
      </c>
      <c r="J270">
        <f xml:space="preserve"> Sales_Data[[#This Row],[Quantity]] * Sales_Data[[#This Row],[Price]]</f>
        <v>897.06</v>
      </c>
      <c r="K270" t="str">
        <f>TEXT(Sales_Data[[#This Row],[Order Date]],"MMM")</f>
        <v>May</v>
      </c>
      <c r="L270">
        <f>YEAR(Sales_Data[[#This Row],[Order Date]])</f>
        <v>2023</v>
      </c>
    </row>
    <row r="271" spans="1:12">
      <c r="A271" t="s">
        <v>582</v>
      </c>
      <c r="B271" s="1" t="s">
        <v>583</v>
      </c>
      <c r="C271" t="s">
        <v>50</v>
      </c>
      <c r="D271" t="s">
        <v>18</v>
      </c>
      <c r="E271" t="s">
        <v>19</v>
      </c>
      <c r="F271">
        <v>1</v>
      </c>
      <c r="G271">
        <v>856.43</v>
      </c>
      <c r="H271">
        <v>856.43</v>
      </c>
      <c r="I271" t="s">
        <v>31</v>
      </c>
      <c r="J271">
        <f xml:space="preserve"> Sales_Data[[#This Row],[Quantity]] * Sales_Data[[#This Row],[Price]]</f>
        <v>856.43</v>
      </c>
      <c r="K271" t="str">
        <f>TEXT(Sales_Data[[#This Row],[Order Date]],"MMM")</f>
        <v>Mar</v>
      </c>
      <c r="L271">
        <f>YEAR(Sales_Data[[#This Row],[Order Date]])</f>
        <v>2023</v>
      </c>
    </row>
    <row r="272" spans="1:12">
      <c r="A272" t="s">
        <v>584</v>
      </c>
      <c r="B272" s="1" t="s">
        <v>585</v>
      </c>
      <c r="C272" t="s">
        <v>297</v>
      </c>
      <c r="D272" t="s">
        <v>110</v>
      </c>
      <c r="E272" t="s">
        <v>52</v>
      </c>
      <c r="F272">
        <v>1</v>
      </c>
      <c r="G272">
        <v>1954.67</v>
      </c>
      <c r="H272">
        <v>1954.67</v>
      </c>
      <c r="I272" t="s">
        <v>14</v>
      </c>
      <c r="J272">
        <f xml:space="preserve"> Sales_Data[[#This Row],[Quantity]] * Sales_Data[[#This Row],[Price]]</f>
        <v>1954.67</v>
      </c>
      <c r="K272" t="str">
        <f>TEXT(Sales_Data[[#This Row],[Order Date]],"MMM")</f>
        <v>Feb</v>
      </c>
      <c r="L272">
        <f>YEAR(Sales_Data[[#This Row],[Order Date]])</f>
        <v>2023</v>
      </c>
    </row>
    <row r="273" spans="1:12">
      <c r="A273" t="s">
        <v>586</v>
      </c>
      <c r="B273" s="1" t="s">
        <v>587</v>
      </c>
      <c r="C273" t="s">
        <v>273</v>
      </c>
      <c r="D273" t="s">
        <v>110</v>
      </c>
      <c r="E273" t="s">
        <v>52</v>
      </c>
      <c r="F273">
        <v>4</v>
      </c>
      <c r="G273">
        <v>1000.75</v>
      </c>
      <c r="H273">
        <v>4003</v>
      </c>
      <c r="I273" t="s">
        <v>14</v>
      </c>
      <c r="J273">
        <f xml:space="preserve"> Sales_Data[[#This Row],[Quantity]] * Sales_Data[[#This Row],[Price]]</f>
        <v>4003</v>
      </c>
      <c r="K273" t="str">
        <f>TEXT(Sales_Data[[#This Row],[Order Date]],"MMM")</f>
        <v>Jul</v>
      </c>
      <c r="L273">
        <f>YEAR(Sales_Data[[#This Row],[Order Date]])</f>
        <v>2023</v>
      </c>
    </row>
    <row r="274" spans="1:12">
      <c r="A274" t="s">
        <v>588</v>
      </c>
      <c r="B274" s="1" t="s">
        <v>493</v>
      </c>
      <c r="C274" t="s">
        <v>254</v>
      </c>
      <c r="D274" t="s">
        <v>79</v>
      </c>
      <c r="E274" t="s">
        <v>52</v>
      </c>
      <c r="F274">
        <v>1</v>
      </c>
      <c r="G274">
        <v>961.08</v>
      </c>
      <c r="H274">
        <v>961.08</v>
      </c>
      <c r="I274" t="s">
        <v>31</v>
      </c>
      <c r="J274">
        <f xml:space="preserve"> Sales_Data[[#This Row],[Quantity]] * Sales_Data[[#This Row],[Price]]</f>
        <v>961.08</v>
      </c>
      <c r="K274" t="str">
        <f>TEXT(Sales_Data[[#This Row],[Order Date]],"MMM")</f>
        <v>May</v>
      </c>
      <c r="L274">
        <f>YEAR(Sales_Data[[#This Row],[Order Date]])</f>
        <v>2023</v>
      </c>
    </row>
    <row r="275" spans="1:12">
      <c r="A275" t="s">
        <v>589</v>
      </c>
      <c r="B275" s="1" t="s">
        <v>590</v>
      </c>
      <c r="C275" t="s">
        <v>591</v>
      </c>
      <c r="D275" t="s">
        <v>110</v>
      </c>
      <c r="E275" t="s">
        <v>52</v>
      </c>
      <c r="F275">
        <v>3</v>
      </c>
      <c r="G275">
        <v>441.69</v>
      </c>
      <c r="H275">
        <v>1325.07</v>
      </c>
      <c r="I275" t="s">
        <v>14</v>
      </c>
      <c r="J275">
        <f xml:space="preserve"> Sales_Data[[#This Row],[Quantity]] * Sales_Data[[#This Row],[Price]]</f>
        <v>1325.07</v>
      </c>
      <c r="K275" t="str">
        <f>TEXT(Sales_Data[[#This Row],[Order Date]],"MMM")</f>
        <v>Jul</v>
      </c>
      <c r="L275">
        <f>YEAR(Sales_Data[[#This Row],[Order Date]])</f>
        <v>2023</v>
      </c>
    </row>
    <row r="276" spans="1:12">
      <c r="A276" t="s">
        <v>592</v>
      </c>
      <c r="B276" s="1" t="s">
        <v>72</v>
      </c>
      <c r="C276" t="s">
        <v>287</v>
      </c>
      <c r="D276" t="s">
        <v>51</v>
      </c>
      <c r="E276" t="s">
        <v>52</v>
      </c>
      <c r="F276">
        <v>1</v>
      </c>
      <c r="G276">
        <v>515.01</v>
      </c>
      <c r="H276">
        <v>515.01</v>
      </c>
      <c r="I276" t="s">
        <v>31</v>
      </c>
      <c r="J276">
        <f xml:space="preserve"> Sales_Data[[#This Row],[Quantity]] * Sales_Data[[#This Row],[Price]]</f>
        <v>515.01</v>
      </c>
      <c r="K276" t="str">
        <f>TEXT(Sales_Data[[#This Row],[Order Date]],"MMM")</f>
        <v>Jun</v>
      </c>
      <c r="L276">
        <f>YEAR(Sales_Data[[#This Row],[Order Date]])</f>
        <v>2023</v>
      </c>
    </row>
    <row r="277" spans="1:12">
      <c r="A277" t="s">
        <v>593</v>
      </c>
      <c r="B277" s="1" t="s">
        <v>594</v>
      </c>
      <c r="C277" t="s">
        <v>140</v>
      </c>
      <c r="D277" t="s">
        <v>110</v>
      </c>
      <c r="E277" t="s">
        <v>52</v>
      </c>
      <c r="F277">
        <v>2</v>
      </c>
      <c r="G277">
        <v>1403.64</v>
      </c>
      <c r="H277">
        <v>2807.28</v>
      </c>
      <c r="I277" t="s">
        <v>31</v>
      </c>
      <c r="J277">
        <f xml:space="preserve"> Sales_Data[[#This Row],[Quantity]] * Sales_Data[[#This Row],[Price]]</f>
        <v>2807.28</v>
      </c>
      <c r="K277" t="str">
        <f>TEXT(Sales_Data[[#This Row],[Order Date]],"MMM")</f>
        <v>Mar</v>
      </c>
      <c r="L277">
        <f>YEAR(Sales_Data[[#This Row],[Order Date]])</f>
        <v>2023</v>
      </c>
    </row>
    <row r="278" spans="1:12">
      <c r="A278" t="s">
        <v>595</v>
      </c>
      <c r="B278" s="1" t="s">
        <v>474</v>
      </c>
      <c r="C278" t="s">
        <v>411</v>
      </c>
      <c r="D278" t="s">
        <v>39</v>
      </c>
      <c r="E278" t="s">
        <v>40</v>
      </c>
      <c r="F278">
        <v>2</v>
      </c>
      <c r="G278">
        <v>492.7</v>
      </c>
      <c r="H278">
        <v>985.4</v>
      </c>
      <c r="I278" t="s">
        <v>23</v>
      </c>
      <c r="J278">
        <f xml:space="preserve"> Sales_Data[[#This Row],[Quantity]] * Sales_Data[[#This Row],[Price]]</f>
        <v>985.4</v>
      </c>
      <c r="K278" t="str">
        <f>TEXT(Sales_Data[[#This Row],[Order Date]],"MMM")</f>
        <v>Nov</v>
      </c>
      <c r="L278">
        <f>YEAR(Sales_Data[[#This Row],[Order Date]])</f>
        <v>2023</v>
      </c>
    </row>
    <row r="279" spans="1:12">
      <c r="A279" t="s">
        <v>596</v>
      </c>
      <c r="B279" s="1" t="s">
        <v>597</v>
      </c>
      <c r="C279" t="s">
        <v>17</v>
      </c>
      <c r="D279" t="s">
        <v>59</v>
      </c>
      <c r="E279" t="s">
        <v>40</v>
      </c>
      <c r="F279">
        <v>3</v>
      </c>
      <c r="G279">
        <v>133.72</v>
      </c>
      <c r="H279">
        <v>401.16</v>
      </c>
      <c r="I279" t="s">
        <v>23</v>
      </c>
      <c r="J279">
        <f xml:space="preserve"> Sales_Data[[#This Row],[Quantity]] * Sales_Data[[#This Row],[Price]]</f>
        <v>401.15999999999997</v>
      </c>
      <c r="K279" t="str">
        <f>TEXT(Sales_Data[[#This Row],[Order Date]],"MMM")</f>
        <v>Mar</v>
      </c>
      <c r="L279">
        <f>YEAR(Sales_Data[[#This Row],[Order Date]])</f>
        <v>2023</v>
      </c>
    </row>
    <row r="280" spans="1:12">
      <c r="A280" t="s">
        <v>598</v>
      </c>
      <c r="B280" s="1" t="s">
        <v>599</v>
      </c>
      <c r="C280" t="s">
        <v>46</v>
      </c>
      <c r="D280" t="s">
        <v>51</v>
      </c>
      <c r="E280" t="s">
        <v>52</v>
      </c>
      <c r="F280">
        <v>5</v>
      </c>
      <c r="G280">
        <v>612.22</v>
      </c>
      <c r="H280">
        <v>3061.1</v>
      </c>
      <c r="I280" t="s">
        <v>14</v>
      </c>
      <c r="J280">
        <f xml:space="preserve"> Sales_Data[[#This Row],[Quantity]] * Sales_Data[[#This Row],[Price]]</f>
        <v>3061.1000000000004</v>
      </c>
      <c r="K280" t="str">
        <f>TEXT(Sales_Data[[#This Row],[Order Date]],"MMM")</f>
        <v>Apr</v>
      </c>
      <c r="L280">
        <f>YEAR(Sales_Data[[#This Row],[Order Date]])</f>
        <v>2023</v>
      </c>
    </row>
    <row r="281" spans="1:12">
      <c r="A281" t="s">
        <v>600</v>
      </c>
      <c r="B281" s="1" t="s">
        <v>601</v>
      </c>
      <c r="C281" t="s">
        <v>58</v>
      </c>
      <c r="D281" t="s">
        <v>12</v>
      </c>
      <c r="E281" t="s">
        <v>13</v>
      </c>
      <c r="F281">
        <v>5</v>
      </c>
      <c r="G281">
        <v>1147.72</v>
      </c>
      <c r="H281">
        <v>5738.6</v>
      </c>
      <c r="I281" t="s">
        <v>14</v>
      </c>
      <c r="J281">
        <f xml:space="preserve"> Sales_Data[[#This Row],[Quantity]] * Sales_Data[[#This Row],[Price]]</f>
        <v>5738.6</v>
      </c>
      <c r="K281" t="str">
        <f>TEXT(Sales_Data[[#This Row],[Order Date]],"MMM")</f>
        <v>Nov</v>
      </c>
      <c r="L281">
        <f>YEAR(Sales_Data[[#This Row],[Order Date]])</f>
        <v>2023</v>
      </c>
    </row>
    <row r="282" spans="1:12">
      <c r="A282" t="s">
        <v>602</v>
      </c>
      <c r="B282" s="1" t="s">
        <v>603</v>
      </c>
      <c r="C282" t="s">
        <v>276</v>
      </c>
      <c r="D282" t="s">
        <v>18</v>
      </c>
      <c r="E282" t="s">
        <v>19</v>
      </c>
      <c r="F282">
        <v>5</v>
      </c>
      <c r="G282">
        <v>1917.91</v>
      </c>
      <c r="H282">
        <v>9589.5499999999993</v>
      </c>
      <c r="I282" t="s">
        <v>47</v>
      </c>
      <c r="J282">
        <f xml:space="preserve"> Sales_Data[[#This Row],[Quantity]] * Sales_Data[[#This Row],[Price]]</f>
        <v>9589.5500000000011</v>
      </c>
      <c r="K282" t="str">
        <f>TEXT(Sales_Data[[#This Row],[Order Date]],"MMM")</f>
        <v>Dec</v>
      </c>
      <c r="L282">
        <f>YEAR(Sales_Data[[#This Row],[Order Date]])</f>
        <v>2023</v>
      </c>
    </row>
    <row r="283" spans="1:12">
      <c r="A283" t="s">
        <v>604</v>
      </c>
      <c r="B283" s="1" t="s">
        <v>380</v>
      </c>
      <c r="C283" t="s">
        <v>293</v>
      </c>
      <c r="D283" t="s">
        <v>59</v>
      </c>
      <c r="E283" t="s">
        <v>40</v>
      </c>
      <c r="F283">
        <v>2</v>
      </c>
      <c r="G283">
        <v>1416.52</v>
      </c>
      <c r="H283">
        <v>2833.04</v>
      </c>
      <c r="I283" t="s">
        <v>47</v>
      </c>
      <c r="J283">
        <f xml:space="preserve"> Sales_Data[[#This Row],[Quantity]] * Sales_Data[[#This Row],[Price]]</f>
        <v>2833.04</v>
      </c>
      <c r="K283" t="str">
        <f>TEXT(Sales_Data[[#This Row],[Order Date]],"MMM")</f>
        <v>Jun</v>
      </c>
      <c r="L283">
        <f>YEAR(Sales_Data[[#This Row],[Order Date]])</f>
        <v>2023</v>
      </c>
    </row>
    <row r="284" spans="1:12">
      <c r="A284" t="s">
        <v>605</v>
      </c>
      <c r="B284" s="1" t="s">
        <v>352</v>
      </c>
      <c r="C284" t="s">
        <v>201</v>
      </c>
      <c r="D284" t="s">
        <v>35</v>
      </c>
      <c r="E284" t="s">
        <v>13</v>
      </c>
      <c r="F284">
        <v>3</v>
      </c>
      <c r="G284">
        <v>862.2</v>
      </c>
      <c r="H284">
        <v>2586.6</v>
      </c>
      <c r="I284" t="s">
        <v>47</v>
      </c>
      <c r="J284">
        <f xml:space="preserve"> Sales_Data[[#This Row],[Quantity]] * Sales_Data[[#This Row],[Price]]</f>
        <v>2586.6000000000004</v>
      </c>
      <c r="K284" t="str">
        <f>TEXT(Sales_Data[[#This Row],[Order Date]],"MMM")</f>
        <v>Mar</v>
      </c>
      <c r="L284">
        <f>YEAR(Sales_Data[[#This Row],[Order Date]])</f>
        <v>2023</v>
      </c>
    </row>
    <row r="285" spans="1:12">
      <c r="A285" t="s">
        <v>606</v>
      </c>
      <c r="B285" s="1" t="s">
        <v>607</v>
      </c>
      <c r="C285" t="s">
        <v>345</v>
      </c>
      <c r="D285" t="s">
        <v>110</v>
      </c>
      <c r="E285" t="s">
        <v>52</v>
      </c>
      <c r="F285">
        <v>4</v>
      </c>
      <c r="G285">
        <v>1260.44</v>
      </c>
      <c r="H285">
        <v>5041.76</v>
      </c>
      <c r="I285" t="s">
        <v>47</v>
      </c>
      <c r="J285">
        <f xml:space="preserve"> Sales_Data[[#This Row],[Quantity]] * Sales_Data[[#This Row],[Price]]</f>
        <v>5041.76</v>
      </c>
      <c r="K285" t="str">
        <f>TEXT(Sales_Data[[#This Row],[Order Date]],"MMM")</f>
        <v>Jan</v>
      </c>
      <c r="L285">
        <f>YEAR(Sales_Data[[#This Row],[Order Date]])</f>
        <v>2023</v>
      </c>
    </row>
    <row r="286" spans="1:12">
      <c r="A286" t="s">
        <v>608</v>
      </c>
      <c r="B286" s="1" t="s">
        <v>212</v>
      </c>
      <c r="C286" t="s">
        <v>34</v>
      </c>
      <c r="D286" t="s">
        <v>59</v>
      </c>
      <c r="E286" t="s">
        <v>40</v>
      </c>
      <c r="F286">
        <v>4</v>
      </c>
      <c r="G286">
        <v>521.38</v>
      </c>
      <c r="H286">
        <v>2085.52</v>
      </c>
      <c r="I286" t="s">
        <v>31</v>
      </c>
      <c r="J286">
        <f xml:space="preserve"> Sales_Data[[#This Row],[Quantity]] * Sales_Data[[#This Row],[Price]]</f>
        <v>2085.52</v>
      </c>
      <c r="K286" t="str">
        <f>TEXT(Sales_Data[[#This Row],[Order Date]],"MMM")</f>
        <v>May</v>
      </c>
      <c r="L286">
        <f>YEAR(Sales_Data[[#This Row],[Order Date]])</f>
        <v>2023</v>
      </c>
    </row>
    <row r="287" spans="1:12">
      <c r="A287" t="s">
        <v>609</v>
      </c>
      <c r="B287" s="1" t="s">
        <v>61</v>
      </c>
      <c r="C287" t="s">
        <v>414</v>
      </c>
      <c r="D287" t="s">
        <v>110</v>
      </c>
      <c r="E287" t="s">
        <v>52</v>
      </c>
      <c r="F287">
        <v>3</v>
      </c>
      <c r="G287">
        <v>1571.84</v>
      </c>
      <c r="H287">
        <v>4715.5200000000004</v>
      </c>
      <c r="I287" t="s">
        <v>14</v>
      </c>
      <c r="J287">
        <f xml:space="preserve"> Sales_Data[[#This Row],[Quantity]] * Sales_Data[[#This Row],[Price]]</f>
        <v>4715.5199999999995</v>
      </c>
      <c r="K287" t="str">
        <f>TEXT(Sales_Data[[#This Row],[Order Date]],"MMM")</f>
        <v>Jun</v>
      </c>
      <c r="L287">
        <f>YEAR(Sales_Data[[#This Row],[Order Date]])</f>
        <v>2023</v>
      </c>
    </row>
    <row r="288" spans="1:12">
      <c r="A288" t="s">
        <v>610</v>
      </c>
      <c r="B288" s="1" t="s">
        <v>611</v>
      </c>
      <c r="C288" t="s">
        <v>210</v>
      </c>
      <c r="D288" t="s">
        <v>39</v>
      </c>
      <c r="E288" t="s">
        <v>40</v>
      </c>
      <c r="F288">
        <v>2</v>
      </c>
      <c r="G288">
        <v>1660.36</v>
      </c>
      <c r="H288">
        <v>3320.72</v>
      </c>
      <c r="I288" t="s">
        <v>47</v>
      </c>
      <c r="J288">
        <f xml:space="preserve"> Sales_Data[[#This Row],[Quantity]] * Sales_Data[[#This Row],[Price]]</f>
        <v>3320.72</v>
      </c>
      <c r="K288" t="str">
        <f>TEXT(Sales_Data[[#This Row],[Order Date]],"MMM")</f>
        <v>Jul</v>
      </c>
      <c r="L288">
        <f>YEAR(Sales_Data[[#This Row],[Order Date]])</f>
        <v>2023</v>
      </c>
    </row>
    <row r="289" spans="1:12">
      <c r="A289" t="s">
        <v>612</v>
      </c>
      <c r="B289" s="1" t="s">
        <v>573</v>
      </c>
      <c r="C289" t="s">
        <v>456</v>
      </c>
      <c r="D289" t="s">
        <v>18</v>
      </c>
      <c r="E289" t="s">
        <v>19</v>
      </c>
      <c r="F289">
        <v>4</v>
      </c>
      <c r="G289">
        <v>734.46</v>
      </c>
      <c r="H289">
        <v>2937.84</v>
      </c>
      <c r="I289" t="s">
        <v>47</v>
      </c>
      <c r="J289">
        <f xml:space="preserve"> Sales_Data[[#This Row],[Quantity]] * Sales_Data[[#This Row],[Price]]</f>
        <v>2937.84</v>
      </c>
      <c r="K289" t="str">
        <f>TEXT(Sales_Data[[#This Row],[Order Date]],"MMM")</f>
        <v>May</v>
      </c>
      <c r="L289">
        <f>YEAR(Sales_Data[[#This Row],[Order Date]])</f>
        <v>2023</v>
      </c>
    </row>
    <row r="290" spans="1:12">
      <c r="A290" t="s">
        <v>613</v>
      </c>
      <c r="B290" s="1" t="s">
        <v>352</v>
      </c>
      <c r="C290" t="s">
        <v>614</v>
      </c>
      <c r="D290" t="s">
        <v>110</v>
      </c>
      <c r="E290" t="s">
        <v>52</v>
      </c>
      <c r="F290">
        <v>4</v>
      </c>
      <c r="G290">
        <v>1885.23</v>
      </c>
      <c r="H290">
        <v>7540.92</v>
      </c>
      <c r="I290" t="s">
        <v>23</v>
      </c>
      <c r="J290">
        <f xml:space="preserve"> Sales_Data[[#This Row],[Quantity]] * Sales_Data[[#This Row],[Price]]</f>
        <v>7540.92</v>
      </c>
      <c r="K290" t="str">
        <f>TEXT(Sales_Data[[#This Row],[Order Date]],"MMM")</f>
        <v>Mar</v>
      </c>
      <c r="L290">
        <f>YEAR(Sales_Data[[#This Row],[Order Date]])</f>
        <v>2023</v>
      </c>
    </row>
    <row r="291" spans="1:12">
      <c r="A291" t="s">
        <v>615</v>
      </c>
      <c r="B291" s="1" t="s">
        <v>616</v>
      </c>
      <c r="C291" t="s">
        <v>153</v>
      </c>
      <c r="D291" t="s">
        <v>110</v>
      </c>
      <c r="E291" t="s">
        <v>52</v>
      </c>
      <c r="F291">
        <v>2</v>
      </c>
      <c r="G291">
        <v>1089.96</v>
      </c>
      <c r="H291">
        <v>2179.92</v>
      </c>
      <c r="I291" t="s">
        <v>47</v>
      </c>
      <c r="J291">
        <f xml:space="preserve"> Sales_Data[[#This Row],[Quantity]] * Sales_Data[[#This Row],[Price]]</f>
        <v>2179.92</v>
      </c>
      <c r="K291" t="str">
        <f>TEXT(Sales_Data[[#This Row],[Order Date]],"MMM")</f>
        <v>Oct</v>
      </c>
      <c r="L291">
        <f>YEAR(Sales_Data[[#This Row],[Order Date]])</f>
        <v>2023</v>
      </c>
    </row>
    <row r="292" spans="1:12">
      <c r="A292" t="s">
        <v>617</v>
      </c>
      <c r="B292" s="1" t="s">
        <v>618</v>
      </c>
      <c r="C292" t="s">
        <v>46</v>
      </c>
      <c r="D292" t="s">
        <v>79</v>
      </c>
      <c r="E292" t="s">
        <v>52</v>
      </c>
      <c r="F292">
        <v>3</v>
      </c>
      <c r="G292">
        <v>1691.25</v>
      </c>
      <c r="H292">
        <v>5073.75</v>
      </c>
      <c r="I292" t="s">
        <v>31</v>
      </c>
      <c r="J292">
        <f xml:space="preserve"> Sales_Data[[#This Row],[Quantity]] * Sales_Data[[#This Row],[Price]]</f>
        <v>5073.75</v>
      </c>
      <c r="K292" t="str">
        <f>TEXT(Sales_Data[[#This Row],[Order Date]],"MMM")</f>
        <v>Oct</v>
      </c>
      <c r="L292">
        <f>YEAR(Sales_Data[[#This Row],[Order Date]])</f>
        <v>2023</v>
      </c>
    </row>
    <row r="293" spans="1:12">
      <c r="A293" t="s">
        <v>619</v>
      </c>
      <c r="B293" s="1" t="s">
        <v>620</v>
      </c>
      <c r="C293" t="s">
        <v>494</v>
      </c>
      <c r="D293" t="s">
        <v>51</v>
      </c>
      <c r="E293" t="s">
        <v>52</v>
      </c>
      <c r="F293">
        <v>4</v>
      </c>
      <c r="G293">
        <v>1785.25</v>
      </c>
      <c r="H293">
        <v>7141</v>
      </c>
      <c r="I293" t="s">
        <v>14</v>
      </c>
      <c r="J293">
        <f xml:space="preserve"> Sales_Data[[#This Row],[Quantity]] * Sales_Data[[#This Row],[Price]]</f>
        <v>7141</v>
      </c>
      <c r="K293" t="str">
        <f>TEXT(Sales_Data[[#This Row],[Order Date]],"MMM")</f>
        <v>Feb</v>
      </c>
      <c r="L293">
        <f>YEAR(Sales_Data[[#This Row],[Order Date]])</f>
        <v>2023</v>
      </c>
    </row>
    <row r="294" spans="1:12">
      <c r="A294" t="s">
        <v>621</v>
      </c>
      <c r="B294" s="1" t="s">
        <v>622</v>
      </c>
      <c r="C294" t="s">
        <v>11</v>
      </c>
      <c r="D294" t="s">
        <v>35</v>
      </c>
      <c r="E294" t="s">
        <v>13</v>
      </c>
      <c r="F294">
        <v>3</v>
      </c>
      <c r="G294">
        <v>1301.25</v>
      </c>
      <c r="H294">
        <v>3903.75</v>
      </c>
      <c r="I294" t="s">
        <v>14</v>
      </c>
      <c r="J294">
        <f xml:space="preserve"> Sales_Data[[#This Row],[Quantity]] * Sales_Data[[#This Row],[Price]]</f>
        <v>3903.75</v>
      </c>
      <c r="K294" t="str">
        <f>TEXT(Sales_Data[[#This Row],[Order Date]],"MMM")</f>
        <v>Jun</v>
      </c>
      <c r="L294">
        <f>YEAR(Sales_Data[[#This Row],[Order Date]])</f>
        <v>2023</v>
      </c>
    </row>
    <row r="295" spans="1:12">
      <c r="A295" t="s">
        <v>623</v>
      </c>
      <c r="B295" s="1" t="s">
        <v>624</v>
      </c>
      <c r="C295" t="s">
        <v>213</v>
      </c>
      <c r="D295" t="s">
        <v>12</v>
      </c>
      <c r="E295" t="s">
        <v>13</v>
      </c>
      <c r="F295">
        <v>2</v>
      </c>
      <c r="G295">
        <v>359.03</v>
      </c>
      <c r="H295">
        <v>718.06</v>
      </c>
      <c r="I295" t="s">
        <v>23</v>
      </c>
      <c r="J295">
        <f xml:space="preserve"> Sales_Data[[#This Row],[Quantity]] * Sales_Data[[#This Row],[Price]]</f>
        <v>718.06</v>
      </c>
      <c r="K295" t="str">
        <f>TEXT(Sales_Data[[#This Row],[Order Date]],"MMM")</f>
        <v>Feb</v>
      </c>
      <c r="L295">
        <f>YEAR(Sales_Data[[#This Row],[Order Date]])</f>
        <v>2023</v>
      </c>
    </row>
    <row r="296" spans="1:12">
      <c r="A296" t="s">
        <v>625</v>
      </c>
      <c r="B296" s="1" t="s">
        <v>626</v>
      </c>
      <c r="C296" t="s">
        <v>449</v>
      </c>
      <c r="D296" t="s">
        <v>110</v>
      </c>
      <c r="E296" t="s">
        <v>52</v>
      </c>
      <c r="F296">
        <v>3</v>
      </c>
      <c r="G296">
        <v>1541.55</v>
      </c>
      <c r="H296">
        <v>4624.6499999999996</v>
      </c>
      <c r="I296" t="s">
        <v>23</v>
      </c>
      <c r="J296">
        <f xml:space="preserve"> Sales_Data[[#This Row],[Quantity]] * Sales_Data[[#This Row],[Price]]</f>
        <v>4624.6499999999996</v>
      </c>
      <c r="K296" t="str">
        <f>TEXT(Sales_Data[[#This Row],[Order Date]],"MMM")</f>
        <v>Jan</v>
      </c>
      <c r="L296">
        <f>YEAR(Sales_Data[[#This Row],[Order Date]])</f>
        <v>2023</v>
      </c>
    </row>
    <row r="297" spans="1:12">
      <c r="A297" t="s">
        <v>627</v>
      </c>
      <c r="B297" s="1" t="s">
        <v>628</v>
      </c>
      <c r="C297" t="s">
        <v>353</v>
      </c>
      <c r="D297" t="s">
        <v>59</v>
      </c>
      <c r="E297" t="s">
        <v>40</v>
      </c>
      <c r="F297">
        <v>5</v>
      </c>
      <c r="G297">
        <v>1796.53</v>
      </c>
      <c r="H297">
        <v>8982.65</v>
      </c>
      <c r="I297" t="s">
        <v>14</v>
      </c>
      <c r="J297">
        <f xml:space="preserve"> Sales_Data[[#This Row],[Quantity]] * Sales_Data[[#This Row],[Price]]</f>
        <v>8982.65</v>
      </c>
      <c r="K297" t="str">
        <f>TEXT(Sales_Data[[#This Row],[Order Date]],"MMM")</f>
        <v>Jun</v>
      </c>
      <c r="L297">
        <f>YEAR(Sales_Data[[#This Row],[Order Date]])</f>
        <v>2023</v>
      </c>
    </row>
    <row r="298" spans="1:12">
      <c r="A298" t="s">
        <v>629</v>
      </c>
      <c r="B298" s="1" t="s">
        <v>630</v>
      </c>
      <c r="C298" t="s">
        <v>34</v>
      </c>
      <c r="D298" t="s">
        <v>18</v>
      </c>
      <c r="E298" t="s">
        <v>19</v>
      </c>
      <c r="F298">
        <v>4</v>
      </c>
      <c r="G298">
        <v>1204.43</v>
      </c>
      <c r="H298">
        <v>4817.72</v>
      </c>
      <c r="I298" t="s">
        <v>23</v>
      </c>
      <c r="J298">
        <f xml:space="preserve"> Sales_Data[[#This Row],[Quantity]] * Sales_Data[[#This Row],[Price]]</f>
        <v>4817.72</v>
      </c>
      <c r="K298" t="str">
        <f>TEXT(Sales_Data[[#This Row],[Order Date]],"MMM")</f>
        <v>May</v>
      </c>
      <c r="L298">
        <f>YEAR(Sales_Data[[#This Row],[Order Date]])</f>
        <v>2023</v>
      </c>
    </row>
    <row r="299" spans="1:12">
      <c r="A299" t="s">
        <v>631</v>
      </c>
      <c r="B299" s="1" t="s">
        <v>280</v>
      </c>
      <c r="C299" t="s">
        <v>166</v>
      </c>
      <c r="D299" t="s">
        <v>79</v>
      </c>
      <c r="E299" t="s">
        <v>52</v>
      </c>
      <c r="F299">
        <v>1</v>
      </c>
      <c r="G299">
        <v>1663.86</v>
      </c>
      <c r="H299">
        <v>1663.86</v>
      </c>
      <c r="I299" t="s">
        <v>23</v>
      </c>
      <c r="J299">
        <f xml:space="preserve"> Sales_Data[[#This Row],[Quantity]] * Sales_Data[[#This Row],[Price]]</f>
        <v>1663.86</v>
      </c>
      <c r="K299" t="str">
        <f>TEXT(Sales_Data[[#This Row],[Order Date]],"MMM")</f>
        <v>Jul</v>
      </c>
      <c r="L299">
        <f>YEAR(Sales_Data[[#This Row],[Order Date]])</f>
        <v>2023</v>
      </c>
    </row>
    <row r="300" spans="1:12">
      <c r="A300" t="s">
        <v>632</v>
      </c>
      <c r="B300" s="1" t="s">
        <v>633</v>
      </c>
      <c r="C300" t="s">
        <v>386</v>
      </c>
      <c r="D300" t="s">
        <v>12</v>
      </c>
      <c r="E300" t="s">
        <v>13</v>
      </c>
      <c r="F300">
        <v>3</v>
      </c>
      <c r="G300">
        <v>1800.12</v>
      </c>
      <c r="H300">
        <v>5400.36</v>
      </c>
      <c r="I300" t="s">
        <v>23</v>
      </c>
      <c r="J300">
        <f xml:space="preserve"> Sales_Data[[#This Row],[Quantity]] * Sales_Data[[#This Row],[Price]]</f>
        <v>5400.36</v>
      </c>
      <c r="K300" t="str">
        <f>TEXT(Sales_Data[[#This Row],[Order Date]],"MMM")</f>
        <v>Jun</v>
      </c>
      <c r="L300">
        <f>YEAR(Sales_Data[[#This Row],[Order Date]])</f>
        <v>2023</v>
      </c>
    </row>
    <row r="301" spans="1:12">
      <c r="A301" t="s">
        <v>634</v>
      </c>
      <c r="B301" s="1" t="s">
        <v>635</v>
      </c>
      <c r="C301" t="s">
        <v>172</v>
      </c>
      <c r="D301" t="s">
        <v>12</v>
      </c>
      <c r="E301" t="s">
        <v>13</v>
      </c>
      <c r="F301">
        <v>1</v>
      </c>
      <c r="G301">
        <v>1365.31</v>
      </c>
      <c r="H301">
        <v>1365.31</v>
      </c>
      <c r="I301" t="s">
        <v>14</v>
      </c>
      <c r="J301">
        <f xml:space="preserve"> Sales_Data[[#This Row],[Quantity]] * Sales_Data[[#This Row],[Price]]</f>
        <v>1365.31</v>
      </c>
      <c r="K301" t="str">
        <f>TEXT(Sales_Data[[#This Row],[Order Date]],"MMM")</f>
        <v>Mar</v>
      </c>
      <c r="L301">
        <f>YEAR(Sales_Data[[#This Row],[Order Date]])</f>
        <v>2023</v>
      </c>
    </row>
    <row r="302" spans="1:12">
      <c r="A302" t="s">
        <v>636</v>
      </c>
      <c r="B302" s="1" t="s">
        <v>637</v>
      </c>
      <c r="C302" t="s">
        <v>638</v>
      </c>
      <c r="D302" t="s">
        <v>110</v>
      </c>
      <c r="E302" t="s">
        <v>52</v>
      </c>
      <c r="F302">
        <v>3</v>
      </c>
      <c r="G302">
        <v>918.58</v>
      </c>
      <c r="H302">
        <v>2755.74</v>
      </c>
      <c r="I302" t="s">
        <v>31</v>
      </c>
      <c r="J302">
        <f xml:space="preserve"> Sales_Data[[#This Row],[Quantity]] * Sales_Data[[#This Row],[Price]]</f>
        <v>2755.7400000000002</v>
      </c>
      <c r="K302" t="str">
        <f>TEXT(Sales_Data[[#This Row],[Order Date]],"MMM")</f>
        <v>Nov</v>
      </c>
      <c r="L302">
        <f>YEAR(Sales_Data[[#This Row],[Order Date]])</f>
        <v>2023</v>
      </c>
    </row>
    <row r="303" spans="1:12">
      <c r="A303" t="s">
        <v>639</v>
      </c>
      <c r="B303" s="1" t="s">
        <v>640</v>
      </c>
      <c r="C303" t="s">
        <v>449</v>
      </c>
      <c r="D303" t="s">
        <v>12</v>
      </c>
      <c r="E303" t="s">
        <v>13</v>
      </c>
      <c r="F303">
        <v>5</v>
      </c>
      <c r="G303">
        <v>95.23</v>
      </c>
      <c r="H303">
        <v>476.15</v>
      </c>
      <c r="I303" t="s">
        <v>23</v>
      </c>
      <c r="J303">
        <f xml:space="preserve"> Sales_Data[[#This Row],[Quantity]] * Sales_Data[[#This Row],[Price]]</f>
        <v>476.15000000000003</v>
      </c>
      <c r="K303" t="str">
        <f>TEXT(Sales_Data[[#This Row],[Order Date]],"MMM")</f>
        <v>Apr</v>
      </c>
      <c r="L303">
        <f>YEAR(Sales_Data[[#This Row],[Order Date]])</f>
        <v>2023</v>
      </c>
    </row>
    <row r="304" spans="1:12">
      <c r="A304" t="s">
        <v>641</v>
      </c>
      <c r="B304" s="1" t="s">
        <v>642</v>
      </c>
      <c r="C304" t="s">
        <v>210</v>
      </c>
      <c r="D304" t="s">
        <v>30</v>
      </c>
      <c r="E304" t="s">
        <v>19</v>
      </c>
      <c r="F304">
        <v>2</v>
      </c>
      <c r="G304">
        <v>394.26</v>
      </c>
      <c r="H304">
        <v>788.52</v>
      </c>
      <c r="I304" t="s">
        <v>14</v>
      </c>
      <c r="J304">
        <f xml:space="preserve"> Sales_Data[[#This Row],[Quantity]] * Sales_Data[[#This Row],[Price]]</f>
        <v>788.52</v>
      </c>
      <c r="K304" t="str">
        <f>TEXT(Sales_Data[[#This Row],[Order Date]],"MMM")</f>
        <v>Dec</v>
      </c>
      <c r="L304">
        <f>YEAR(Sales_Data[[#This Row],[Order Date]])</f>
        <v>2023</v>
      </c>
    </row>
    <row r="305" spans="1:12">
      <c r="A305" t="s">
        <v>643</v>
      </c>
      <c r="B305" s="1" t="s">
        <v>191</v>
      </c>
      <c r="C305" t="s">
        <v>371</v>
      </c>
      <c r="D305" t="s">
        <v>79</v>
      </c>
      <c r="E305" t="s">
        <v>52</v>
      </c>
      <c r="F305">
        <v>1</v>
      </c>
      <c r="G305">
        <v>523.58000000000004</v>
      </c>
      <c r="H305">
        <v>523.58000000000004</v>
      </c>
      <c r="I305" t="s">
        <v>47</v>
      </c>
      <c r="J305">
        <f xml:space="preserve"> Sales_Data[[#This Row],[Quantity]] * Sales_Data[[#This Row],[Price]]</f>
        <v>523.58000000000004</v>
      </c>
      <c r="K305" t="str">
        <f>TEXT(Sales_Data[[#This Row],[Order Date]],"MMM")</f>
        <v>May</v>
      </c>
      <c r="L305">
        <f>YEAR(Sales_Data[[#This Row],[Order Date]])</f>
        <v>2023</v>
      </c>
    </row>
    <row r="306" spans="1:12">
      <c r="A306" t="s">
        <v>644</v>
      </c>
      <c r="B306" s="1" t="s">
        <v>645</v>
      </c>
      <c r="C306" t="s">
        <v>102</v>
      </c>
      <c r="D306" t="s">
        <v>79</v>
      </c>
      <c r="E306" t="s">
        <v>52</v>
      </c>
      <c r="F306">
        <v>4</v>
      </c>
      <c r="G306">
        <v>201.13</v>
      </c>
      <c r="H306">
        <v>804.52</v>
      </c>
      <c r="I306" t="s">
        <v>23</v>
      </c>
      <c r="J306">
        <f xml:space="preserve"> Sales_Data[[#This Row],[Quantity]] * Sales_Data[[#This Row],[Price]]</f>
        <v>804.52</v>
      </c>
      <c r="K306" t="str">
        <f>TEXT(Sales_Data[[#This Row],[Order Date]],"MMM")</f>
        <v>Aug</v>
      </c>
      <c r="L306">
        <f>YEAR(Sales_Data[[#This Row],[Order Date]])</f>
        <v>2023</v>
      </c>
    </row>
    <row r="307" spans="1:12">
      <c r="A307" t="s">
        <v>646</v>
      </c>
      <c r="B307" s="1" t="s">
        <v>647</v>
      </c>
      <c r="C307" t="s">
        <v>496</v>
      </c>
      <c r="D307" t="s">
        <v>110</v>
      </c>
      <c r="E307" t="s">
        <v>52</v>
      </c>
      <c r="F307">
        <v>4</v>
      </c>
      <c r="G307">
        <v>1229.6400000000001</v>
      </c>
      <c r="H307">
        <v>4918.5600000000004</v>
      </c>
      <c r="I307" t="s">
        <v>47</v>
      </c>
      <c r="J307">
        <f xml:space="preserve"> Sales_Data[[#This Row],[Quantity]] * Sales_Data[[#This Row],[Price]]</f>
        <v>4918.5600000000004</v>
      </c>
      <c r="K307" t="str">
        <f>TEXT(Sales_Data[[#This Row],[Order Date]],"MMM")</f>
        <v>Jan</v>
      </c>
      <c r="L307">
        <f>YEAR(Sales_Data[[#This Row],[Order Date]])</f>
        <v>2023</v>
      </c>
    </row>
    <row r="308" spans="1:12">
      <c r="A308" t="s">
        <v>648</v>
      </c>
      <c r="B308" s="1" t="s">
        <v>620</v>
      </c>
      <c r="C308" t="s">
        <v>345</v>
      </c>
      <c r="D308" t="s">
        <v>79</v>
      </c>
      <c r="E308" t="s">
        <v>52</v>
      </c>
      <c r="F308">
        <v>2</v>
      </c>
      <c r="G308">
        <v>578.70000000000005</v>
      </c>
      <c r="H308">
        <v>1157.4000000000001</v>
      </c>
      <c r="I308" t="s">
        <v>23</v>
      </c>
      <c r="J308">
        <f xml:space="preserve"> Sales_Data[[#This Row],[Quantity]] * Sales_Data[[#This Row],[Price]]</f>
        <v>1157.4000000000001</v>
      </c>
      <c r="K308" t="str">
        <f>TEXT(Sales_Data[[#This Row],[Order Date]],"MMM")</f>
        <v>Feb</v>
      </c>
      <c r="L308">
        <f>YEAR(Sales_Data[[#This Row],[Order Date]])</f>
        <v>2023</v>
      </c>
    </row>
    <row r="309" spans="1:12">
      <c r="A309" t="s">
        <v>649</v>
      </c>
      <c r="B309" s="1" t="s">
        <v>650</v>
      </c>
      <c r="C309" t="s">
        <v>192</v>
      </c>
      <c r="D309" t="s">
        <v>12</v>
      </c>
      <c r="E309" t="s">
        <v>13</v>
      </c>
      <c r="F309">
        <v>2</v>
      </c>
      <c r="G309">
        <v>348.18</v>
      </c>
      <c r="H309">
        <v>696.36</v>
      </c>
      <c r="I309" t="s">
        <v>14</v>
      </c>
      <c r="J309">
        <f xml:space="preserve"> Sales_Data[[#This Row],[Quantity]] * Sales_Data[[#This Row],[Price]]</f>
        <v>696.36</v>
      </c>
      <c r="K309" t="str">
        <f>TEXT(Sales_Data[[#This Row],[Order Date]],"MMM")</f>
        <v>Jun</v>
      </c>
      <c r="L309">
        <f>YEAR(Sales_Data[[#This Row],[Order Date]])</f>
        <v>2023</v>
      </c>
    </row>
    <row r="310" spans="1:12">
      <c r="A310" t="s">
        <v>651</v>
      </c>
      <c r="B310" s="1" t="s">
        <v>652</v>
      </c>
      <c r="C310" t="s">
        <v>127</v>
      </c>
      <c r="D310" t="s">
        <v>18</v>
      </c>
      <c r="E310" t="s">
        <v>19</v>
      </c>
      <c r="F310">
        <v>5</v>
      </c>
      <c r="G310">
        <v>821.6</v>
      </c>
      <c r="H310">
        <v>4108</v>
      </c>
      <c r="I310" t="s">
        <v>14</v>
      </c>
      <c r="J310">
        <f xml:space="preserve"> Sales_Data[[#This Row],[Quantity]] * Sales_Data[[#This Row],[Price]]</f>
        <v>4108</v>
      </c>
      <c r="K310" t="str">
        <f>TEXT(Sales_Data[[#This Row],[Order Date]],"MMM")</f>
        <v>Sept</v>
      </c>
      <c r="L310">
        <f>YEAR(Sales_Data[[#This Row],[Order Date]])</f>
        <v>2023</v>
      </c>
    </row>
    <row r="311" spans="1:12">
      <c r="A311" t="s">
        <v>653</v>
      </c>
      <c r="B311" s="1" t="s">
        <v>654</v>
      </c>
      <c r="C311" t="s">
        <v>343</v>
      </c>
      <c r="D311" t="s">
        <v>35</v>
      </c>
      <c r="E311" t="s">
        <v>13</v>
      </c>
      <c r="F311">
        <v>1</v>
      </c>
      <c r="G311">
        <v>316.8</v>
      </c>
      <c r="H311">
        <v>316.8</v>
      </c>
      <c r="I311" t="s">
        <v>47</v>
      </c>
      <c r="J311">
        <f xml:space="preserve"> Sales_Data[[#This Row],[Quantity]] * Sales_Data[[#This Row],[Price]]</f>
        <v>316.8</v>
      </c>
      <c r="K311" t="str">
        <f>TEXT(Sales_Data[[#This Row],[Order Date]],"MMM")</f>
        <v>Jun</v>
      </c>
      <c r="L311">
        <f>YEAR(Sales_Data[[#This Row],[Order Date]])</f>
        <v>2023</v>
      </c>
    </row>
    <row r="312" spans="1:12">
      <c r="A312" t="s">
        <v>655</v>
      </c>
      <c r="B312" s="1" t="s">
        <v>656</v>
      </c>
      <c r="C312" t="s">
        <v>124</v>
      </c>
      <c r="D312" t="s">
        <v>12</v>
      </c>
      <c r="E312" t="s">
        <v>13</v>
      </c>
      <c r="F312">
        <v>2</v>
      </c>
      <c r="G312">
        <v>265.94</v>
      </c>
      <c r="H312">
        <v>531.88</v>
      </c>
      <c r="I312" t="s">
        <v>31</v>
      </c>
      <c r="J312">
        <f xml:space="preserve"> Sales_Data[[#This Row],[Quantity]] * Sales_Data[[#This Row],[Price]]</f>
        <v>531.88</v>
      </c>
      <c r="K312" t="str">
        <f>TEXT(Sales_Data[[#This Row],[Order Date]],"MMM")</f>
        <v>Feb</v>
      </c>
      <c r="L312">
        <f>YEAR(Sales_Data[[#This Row],[Order Date]])</f>
        <v>2023</v>
      </c>
    </row>
    <row r="313" spans="1:12">
      <c r="A313" t="s">
        <v>657</v>
      </c>
      <c r="B313" s="1" t="s">
        <v>104</v>
      </c>
      <c r="C313" t="s">
        <v>62</v>
      </c>
      <c r="D313" t="s">
        <v>79</v>
      </c>
      <c r="E313" t="s">
        <v>52</v>
      </c>
      <c r="F313">
        <v>1</v>
      </c>
      <c r="G313">
        <v>822.22</v>
      </c>
      <c r="H313">
        <v>822.22</v>
      </c>
      <c r="I313" t="s">
        <v>23</v>
      </c>
      <c r="J313">
        <f xml:space="preserve"> Sales_Data[[#This Row],[Quantity]] * Sales_Data[[#This Row],[Price]]</f>
        <v>822.22</v>
      </c>
      <c r="K313" t="str">
        <f>TEXT(Sales_Data[[#This Row],[Order Date]],"MMM")</f>
        <v>Aug</v>
      </c>
      <c r="L313">
        <f>YEAR(Sales_Data[[#This Row],[Order Date]])</f>
        <v>2023</v>
      </c>
    </row>
    <row r="314" spans="1:12">
      <c r="A314" t="s">
        <v>658</v>
      </c>
      <c r="B314" s="1" t="s">
        <v>292</v>
      </c>
      <c r="C314" t="s">
        <v>365</v>
      </c>
      <c r="D314" t="s">
        <v>35</v>
      </c>
      <c r="E314" t="s">
        <v>13</v>
      </c>
      <c r="F314">
        <v>2</v>
      </c>
      <c r="G314">
        <v>977.18</v>
      </c>
      <c r="H314">
        <v>1954.36</v>
      </c>
      <c r="I314" t="s">
        <v>23</v>
      </c>
      <c r="J314">
        <f xml:space="preserve"> Sales_Data[[#This Row],[Quantity]] * Sales_Data[[#This Row],[Price]]</f>
        <v>1954.36</v>
      </c>
      <c r="K314" t="str">
        <f>TEXT(Sales_Data[[#This Row],[Order Date]],"MMM")</f>
        <v>Dec</v>
      </c>
      <c r="L314">
        <f>YEAR(Sales_Data[[#This Row],[Order Date]])</f>
        <v>2023</v>
      </c>
    </row>
    <row r="315" spans="1:12">
      <c r="A315" t="s">
        <v>659</v>
      </c>
      <c r="B315" s="1" t="s">
        <v>594</v>
      </c>
      <c r="C315" t="s">
        <v>638</v>
      </c>
      <c r="D315" t="s">
        <v>30</v>
      </c>
      <c r="E315" t="s">
        <v>19</v>
      </c>
      <c r="F315">
        <v>2</v>
      </c>
      <c r="G315">
        <v>742.04</v>
      </c>
      <c r="H315">
        <v>1484.08</v>
      </c>
      <c r="I315" t="s">
        <v>23</v>
      </c>
      <c r="J315">
        <f xml:space="preserve"> Sales_Data[[#This Row],[Quantity]] * Sales_Data[[#This Row],[Price]]</f>
        <v>1484.08</v>
      </c>
      <c r="K315" t="str">
        <f>TEXT(Sales_Data[[#This Row],[Order Date]],"MMM")</f>
        <v>Mar</v>
      </c>
      <c r="L315">
        <f>YEAR(Sales_Data[[#This Row],[Order Date]])</f>
        <v>2023</v>
      </c>
    </row>
    <row r="316" spans="1:12">
      <c r="A316" t="s">
        <v>660</v>
      </c>
      <c r="B316" s="1" t="s">
        <v>282</v>
      </c>
      <c r="C316" t="s">
        <v>411</v>
      </c>
      <c r="D316" t="s">
        <v>39</v>
      </c>
      <c r="E316" t="s">
        <v>40</v>
      </c>
      <c r="F316">
        <v>4</v>
      </c>
      <c r="G316">
        <v>475.55</v>
      </c>
      <c r="H316">
        <v>1902.2</v>
      </c>
      <c r="I316" t="s">
        <v>14</v>
      </c>
      <c r="J316">
        <f xml:space="preserve"> Sales_Data[[#This Row],[Quantity]] * Sales_Data[[#This Row],[Price]]</f>
        <v>1902.2</v>
      </c>
      <c r="K316" t="str">
        <f>TEXT(Sales_Data[[#This Row],[Order Date]],"MMM")</f>
        <v>Jun</v>
      </c>
      <c r="L316">
        <f>YEAR(Sales_Data[[#This Row],[Order Date]])</f>
        <v>2023</v>
      </c>
    </row>
    <row r="317" spans="1:12">
      <c r="A317" t="s">
        <v>661</v>
      </c>
      <c r="B317" s="1" t="s">
        <v>544</v>
      </c>
      <c r="C317" t="s">
        <v>403</v>
      </c>
      <c r="D317" t="s">
        <v>51</v>
      </c>
      <c r="E317" t="s">
        <v>52</v>
      </c>
      <c r="F317">
        <v>5</v>
      </c>
      <c r="G317">
        <v>1148.71</v>
      </c>
      <c r="H317">
        <v>5743.55</v>
      </c>
      <c r="I317" t="s">
        <v>14</v>
      </c>
      <c r="J317">
        <f xml:space="preserve"> Sales_Data[[#This Row],[Quantity]] * Sales_Data[[#This Row],[Price]]</f>
        <v>5743.55</v>
      </c>
      <c r="K317" t="str">
        <f>TEXT(Sales_Data[[#This Row],[Order Date]],"MMM")</f>
        <v>Mar</v>
      </c>
      <c r="L317">
        <f>YEAR(Sales_Data[[#This Row],[Order Date]])</f>
        <v>2023</v>
      </c>
    </row>
    <row r="318" spans="1:12">
      <c r="A318" t="s">
        <v>662</v>
      </c>
      <c r="B318" s="1" t="s">
        <v>150</v>
      </c>
      <c r="C318" t="s">
        <v>249</v>
      </c>
      <c r="D318" t="s">
        <v>110</v>
      </c>
      <c r="E318" t="s">
        <v>52</v>
      </c>
      <c r="F318">
        <v>5</v>
      </c>
      <c r="G318">
        <v>908.77</v>
      </c>
      <c r="H318">
        <v>4543.8500000000004</v>
      </c>
      <c r="I318" t="s">
        <v>23</v>
      </c>
      <c r="J318">
        <f xml:space="preserve"> Sales_Data[[#This Row],[Quantity]] * Sales_Data[[#This Row],[Price]]</f>
        <v>4543.8500000000004</v>
      </c>
      <c r="K318" t="str">
        <f>TEXT(Sales_Data[[#This Row],[Order Date]],"MMM")</f>
        <v>Sept</v>
      </c>
      <c r="L318">
        <f>YEAR(Sales_Data[[#This Row],[Order Date]])</f>
        <v>2023</v>
      </c>
    </row>
    <row r="319" spans="1:12">
      <c r="A319" t="s">
        <v>663</v>
      </c>
      <c r="B319" s="1" t="s">
        <v>194</v>
      </c>
      <c r="C319" t="s">
        <v>529</v>
      </c>
      <c r="D319" t="s">
        <v>79</v>
      </c>
      <c r="E319" t="s">
        <v>52</v>
      </c>
      <c r="F319">
        <v>2</v>
      </c>
      <c r="G319">
        <v>912.43</v>
      </c>
      <c r="H319">
        <v>1824.86</v>
      </c>
      <c r="I319" t="s">
        <v>31</v>
      </c>
      <c r="J319">
        <f xml:space="preserve"> Sales_Data[[#This Row],[Quantity]] * Sales_Data[[#This Row],[Price]]</f>
        <v>1824.86</v>
      </c>
      <c r="K319" t="str">
        <f>TEXT(Sales_Data[[#This Row],[Order Date]],"MMM")</f>
        <v>Aug</v>
      </c>
      <c r="L319">
        <f>YEAR(Sales_Data[[#This Row],[Order Date]])</f>
        <v>2023</v>
      </c>
    </row>
    <row r="320" spans="1:12">
      <c r="A320" t="s">
        <v>664</v>
      </c>
      <c r="B320" s="1" t="s">
        <v>665</v>
      </c>
      <c r="C320" t="s">
        <v>118</v>
      </c>
      <c r="D320" t="s">
        <v>35</v>
      </c>
      <c r="E320" t="s">
        <v>13</v>
      </c>
      <c r="F320">
        <v>4</v>
      </c>
      <c r="G320">
        <v>1557.19</v>
      </c>
      <c r="H320">
        <v>6228.76</v>
      </c>
      <c r="I320" t="s">
        <v>14</v>
      </c>
      <c r="J320">
        <f xml:space="preserve"> Sales_Data[[#This Row],[Quantity]] * Sales_Data[[#This Row],[Price]]</f>
        <v>6228.76</v>
      </c>
      <c r="K320" t="str">
        <f>TEXT(Sales_Data[[#This Row],[Order Date]],"MMM")</f>
        <v>Apr</v>
      </c>
      <c r="L320">
        <f>YEAR(Sales_Data[[#This Row],[Order Date]])</f>
        <v>2023</v>
      </c>
    </row>
    <row r="321" spans="1:12">
      <c r="A321" t="s">
        <v>666</v>
      </c>
      <c r="B321" s="1" t="s">
        <v>251</v>
      </c>
      <c r="C321" t="s">
        <v>231</v>
      </c>
      <c r="D321" t="s">
        <v>39</v>
      </c>
      <c r="E321" t="s">
        <v>40</v>
      </c>
      <c r="F321">
        <v>4</v>
      </c>
      <c r="G321">
        <v>1440.59</v>
      </c>
      <c r="H321">
        <v>5762.36</v>
      </c>
      <c r="I321" t="s">
        <v>23</v>
      </c>
      <c r="J321">
        <f xml:space="preserve"> Sales_Data[[#This Row],[Quantity]] * Sales_Data[[#This Row],[Price]]</f>
        <v>5762.36</v>
      </c>
      <c r="K321" t="str">
        <f>TEXT(Sales_Data[[#This Row],[Order Date]],"MMM")</f>
        <v>Sept</v>
      </c>
      <c r="L321">
        <f>YEAR(Sales_Data[[#This Row],[Order Date]])</f>
        <v>2023</v>
      </c>
    </row>
    <row r="322" spans="1:12">
      <c r="A322" t="s">
        <v>667</v>
      </c>
      <c r="B322" s="1" t="s">
        <v>188</v>
      </c>
      <c r="C322" t="s">
        <v>228</v>
      </c>
      <c r="D322" t="s">
        <v>51</v>
      </c>
      <c r="E322" t="s">
        <v>52</v>
      </c>
      <c r="F322">
        <v>3</v>
      </c>
      <c r="G322">
        <v>1386.94</v>
      </c>
      <c r="H322">
        <v>4160.82</v>
      </c>
      <c r="I322" t="s">
        <v>14</v>
      </c>
      <c r="J322">
        <f xml:space="preserve"> Sales_Data[[#This Row],[Quantity]] * Sales_Data[[#This Row],[Price]]</f>
        <v>4160.82</v>
      </c>
      <c r="K322" t="str">
        <f>TEXT(Sales_Data[[#This Row],[Order Date]],"MMM")</f>
        <v>Sept</v>
      </c>
      <c r="L322">
        <f>YEAR(Sales_Data[[#This Row],[Order Date]])</f>
        <v>2023</v>
      </c>
    </row>
    <row r="323" spans="1:12">
      <c r="A323" t="s">
        <v>668</v>
      </c>
      <c r="B323" s="1" t="s">
        <v>107</v>
      </c>
      <c r="C323" t="s">
        <v>102</v>
      </c>
      <c r="D323" t="s">
        <v>79</v>
      </c>
      <c r="E323" t="s">
        <v>52</v>
      </c>
      <c r="F323">
        <v>2</v>
      </c>
      <c r="G323">
        <v>565.08000000000004</v>
      </c>
      <c r="H323">
        <v>1130.1600000000001</v>
      </c>
      <c r="I323" t="s">
        <v>31</v>
      </c>
      <c r="J323">
        <f xml:space="preserve"> Sales_Data[[#This Row],[Quantity]] * Sales_Data[[#This Row],[Price]]</f>
        <v>1130.1600000000001</v>
      </c>
      <c r="K323" t="str">
        <f>TEXT(Sales_Data[[#This Row],[Order Date]],"MMM")</f>
        <v>Jan</v>
      </c>
      <c r="L323">
        <f>YEAR(Sales_Data[[#This Row],[Order Date]])</f>
        <v>2023</v>
      </c>
    </row>
    <row r="324" spans="1:12">
      <c r="A324" t="s">
        <v>669</v>
      </c>
      <c r="B324" s="1" t="s">
        <v>670</v>
      </c>
      <c r="C324" t="s">
        <v>449</v>
      </c>
      <c r="D324" t="s">
        <v>51</v>
      </c>
      <c r="E324" t="s">
        <v>52</v>
      </c>
      <c r="F324">
        <v>1</v>
      </c>
      <c r="G324">
        <v>1823.6</v>
      </c>
      <c r="H324">
        <v>1823.6</v>
      </c>
      <c r="I324" t="s">
        <v>47</v>
      </c>
      <c r="J324">
        <f xml:space="preserve"> Sales_Data[[#This Row],[Quantity]] * Sales_Data[[#This Row],[Price]]</f>
        <v>1823.6</v>
      </c>
      <c r="K324" t="str">
        <f>TEXT(Sales_Data[[#This Row],[Order Date]],"MMM")</f>
        <v>Feb</v>
      </c>
      <c r="L324">
        <f>YEAR(Sales_Data[[#This Row],[Order Date]])</f>
        <v>2023</v>
      </c>
    </row>
    <row r="325" spans="1:12">
      <c r="A325" t="s">
        <v>671</v>
      </c>
      <c r="B325" s="1" t="s">
        <v>526</v>
      </c>
      <c r="C325" t="s">
        <v>541</v>
      </c>
      <c r="D325" t="s">
        <v>79</v>
      </c>
      <c r="E325" t="s">
        <v>52</v>
      </c>
      <c r="F325">
        <v>5</v>
      </c>
      <c r="G325">
        <v>633.67999999999995</v>
      </c>
      <c r="H325">
        <v>3168.4</v>
      </c>
      <c r="I325" t="s">
        <v>14</v>
      </c>
      <c r="J325">
        <f xml:space="preserve"> Sales_Data[[#This Row],[Quantity]] * Sales_Data[[#This Row],[Price]]</f>
        <v>3168.3999999999996</v>
      </c>
      <c r="K325" t="str">
        <f>TEXT(Sales_Data[[#This Row],[Order Date]],"MMM")</f>
        <v>Jun</v>
      </c>
      <c r="L325">
        <f>YEAR(Sales_Data[[#This Row],[Order Date]])</f>
        <v>2023</v>
      </c>
    </row>
    <row r="326" spans="1:12">
      <c r="A326" t="s">
        <v>672</v>
      </c>
      <c r="B326" s="1" t="s">
        <v>640</v>
      </c>
      <c r="C326" t="s">
        <v>673</v>
      </c>
      <c r="D326" t="s">
        <v>39</v>
      </c>
      <c r="E326" t="s">
        <v>40</v>
      </c>
      <c r="F326">
        <v>1</v>
      </c>
      <c r="G326">
        <v>64.17</v>
      </c>
      <c r="H326">
        <v>64.17</v>
      </c>
      <c r="I326" t="s">
        <v>47</v>
      </c>
      <c r="J326">
        <f xml:space="preserve"> Sales_Data[[#This Row],[Quantity]] * Sales_Data[[#This Row],[Price]]</f>
        <v>64.17</v>
      </c>
      <c r="K326" t="str">
        <f>TEXT(Sales_Data[[#This Row],[Order Date]],"MMM")</f>
        <v>Apr</v>
      </c>
      <c r="L326">
        <f>YEAR(Sales_Data[[#This Row],[Order Date]])</f>
        <v>2023</v>
      </c>
    </row>
    <row r="327" spans="1:12">
      <c r="A327" t="s">
        <v>674</v>
      </c>
      <c r="B327" s="1" t="s">
        <v>292</v>
      </c>
      <c r="C327" t="s">
        <v>449</v>
      </c>
      <c r="D327" t="s">
        <v>30</v>
      </c>
      <c r="E327" t="s">
        <v>19</v>
      </c>
      <c r="F327">
        <v>3</v>
      </c>
      <c r="G327">
        <v>992.8</v>
      </c>
      <c r="H327">
        <v>2978.4</v>
      </c>
      <c r="I327" t="s">
        <v>14</v>
      </c>
      <c r="J327">
        <f xml:space="preserve"> Sales_Data[[#This Row],[Quantity]] * Sales_Data[[#This Row],[Price]]</f>
        <v>2978.3999999999996</v>
      </c>
      <c r="K327" t="str">
        <f>TEXT(Sales_Data[[#This Row],[Order Date]],"MMM")</f>
        <v>Dec</v>
      </c>
      <c r="L327">
        <f>YEAR(Sales_Data[[#This Row],[Order Date]])</f>
        <v>2023</v>
      </c>
    </row>
    <row r="328" spans="1:12">
      <c r="A328" t="s">
        <v>675</v>
      </c>
      <c r="B328" s="1" t="s">
        <v>81</v>
      </c>
      <c r="C328" t="s">
        <v>361</v>
      </c>
      <c r="D328" t="s">
        <v>35</v>
      </c>
      <c r="E328" t="s">
        <v>13</v>
      </c>
      <c r="F328">
        <v>2</v>
      </c>
      <c r="G328">
        <v>1964.03</v>
      </c>
      <c r="H328">
        <v>3928.06</v>
      </c>
      <c r="I328" t="s">
        <v>47</v>
      </c>
      <c r="J328">
        <f xml:space="preserve"> Sales_Data[[#This Row],[Quantity]] * Sales_Data[[#This Row],[Price]]</f>
        <v>3928.06</v>
      </c>
      <c r="K328" t="str">
        <f>TEXT(Sales_Data[[#This Row],[Order Date]],"MMM")</f>
        <v>Jan</v>
      </c>
      <c r="L328">
        <f>YEAR(Sales_Data[[#This Row],[Order Date]])</f>
        <v>2023</v>
      </c>
    </row>
    <row r="329" spans="1:12">
      <c r="A329" t="s">
        <v>676</v>
      </c>
      <c r="B329" s="1" t="s">
        <v>677</v>
      </c>
      <c r="C329" t="s">
        <v>365</v>
      </c>
      <c r="D329" t="s">
        <v>35</v>
      </c>
      <c r="E329" t="s">
        <v>13</v>
      </c>
      <c r="F329">
        <v>4</v>
      </c>
      <c r="G329">
        <v>147.69</v>
      </c>
      <c r="H329">
        <v>590.76</v>
      </c>
      <c r="I329" t="s">
        <v>23</v>
      </c>
      <c r="J329">
        <f xml:space="preserve"> Sales_Data[[#This Row],[Quantity]] * Sales_Data[[#This Row],[Price]]</f>
        <v>590.76</v>
      </c>
      <c r="K329" t="str">
        <f>TEXT(Sales_Data[[#This Row],[Order Date]],"MMM")</f>
        <v>May</v>
      </c>
      <c r="L329">
        <f>YEAR(Sales_Data[[#This Row],[Order Date]])</f>
        <v>2023</v>
      </c>
    </row>
    <row r="330" spans="1:12">
      <c r="A330" t="s">
        <v>678</v>
      </c>
      <c r="B330" s="1" t="s">
        <v>388</v>
      </c>
      <c r="C330" t="s">
        <v>679</v>
      </c>
      <c r="D330" t="s">
        <v>18</v>
      </c>
      <c r="E330" t="s">
        <v>19</v>
      </c>
      <c r="F330">
        <v>1</v>
      </c>
      <c r="G330">
        <v>550.35</v>
      </c>
      <c r="H330">
        <v>550.35</v>
      </c>
      <c r="I330" t="s">
        <v>14</v>
      </c>
      <c r="J330">
        <f xml:space="preserve"> Sales_Data[[#This Row],[Quantity]] * Sales_Data[[#This Row],[Price]]</f>
        <v>550.35</v>
      </c>
      <c r="K330" t="str">
        <f>TEXT(Sales_Data[[#This Row],[Order Date]],"MMM")</f>
        <v>Jun</v>
      </c>
      <c r="L330">
        <f>YEAR(Sales_Data[[#This Row],[Order Date]])</f>
        <v>2023</v>
      </c>
    </row>
    <row r="331" spans="1:12">
      <c r="A331" t="s">
        <v>680</v>
      </c>
      <c r="B331" s="1" t="s">
        <v>489</v>
      </c>
      <c r="C331" t="s">
        <v>78</v>
      </c>
      <c r="D331" t="s">
        <v>12</v>
      </c>
      <c r="E331" t="s">
        <v>13</v>
      </c>
      <c r="F331">
        <v>1</v>
      </c>
      <c r="G331">
        <v>783.76</v>
      </c>
      <c r="H331">
        <v>783.76</v>
      </c>
      <c r="I331" t="s">
        <v>31</v>
      </c>
      <c r="J331">
        <f xml:space="preserve"> Sales_Data[[#This Row],[Quantity]] * Sales_Data[[#This Row],[Price]]</f>
        <v>783.76</v>
      </c>
      <c r="K331" t="str">
        <f>TEXT(Sales_Data[[#This Row],[Order Date]],"MMM")</f>
        <v>Oct</v>
      </c>
      <c r="L331">
        <f>YEAR(Sales_Data[[#This Row],[Order Date]])</f>
        <v>2023</v>
      </c>
    </row>
    <row r="332" spans="1:12">
      <c r="A332" t="s">
        <v>681</v>
      </c>
      <c r="B332" s="1" t="s">
        <v>682</v>
      </c>
      <c r="C332" t="s">
        <v>17</v>
      </c>
      <c r="D332" t="s">
        <v>35</v>
      </c>
      <c r="E332" t="s">
        <v>13</v>
      </c>
      <c r="F332">
        <v>3</v>
      </c>
      <c r="G332">
        <v>1407.67</v>
      </c>
      <c r="H332">
        <v>4223.01</v>
      </c>
      <c r="I332" t="s">
        <v>14</v>
      </c>
      <c r="J332">
        <f xml:space="preserve"> Sales_Data[[#This Row],[Quantity]] * Sales_Data[[#This Row],[Price]]</f>
        <v>4223.01</v>
      </c>
      <c r="K332" t="str">
        <f>TEXT(Sales_Data[[#This Row],[Order Date]],"MMM")</f>
        <v>Sept</v>
      </c>
      <c r="L332">
        <f>YEAR(Sales_Data[[#This Row],[Order Date]])</f>
        <v>2023</v>
      </c>
    </row>
    <row r="333" spans="1:12">
      <c r="A333" t="s">
        <v>683</v>
      </c>
      <c r="B333" s="1" t="s">
        <v>458</v>
      </c>
      <c r="C333" t="s">
        <v>50</v>
      </c>
      <c r="D333" t="s">
        <v>18</v>
      </c>
      <c r="E333" t="s">
        <v>19</v>
      </c>
      <c r="F333">
        <v>5</v>
      </c>
      <c r="G333">
        <v>1794.09</v>
      </c>
      <c r="H333">
        <v>8970.4500000000007</v>
      </c>
      <c r="I333" t="s">
        <v>23</v>
      </c>
      <c r="J333">
        <f xml:space="preserve"> Sales_Data[[#This Row],[Quantity]] * Sales_Data[[#This Row],[Price]]</f>
        <v>8970.4499999999989</v>
      </c>
      <c r="K333" t="str">
        <f>TEXT(Sales_Data[[#This Row],[Order Date]],"MMM")</f>
        <v>May</v>
      </c>
      <c r="L333">
        <f>YEAR(Sales_Data[[#This Row],[Order Date]])</f>
        <v>2023</v>
      </c>
    </row>
    <row r="334" spans="1:12">
      <c r="A334" t="s">
        <v>684</v>
      </c>
      <c r="B334" s="1" t="s">
        <v>416</v>
      </c>
      <c r="C334" t="s">
        <v>201</v>
      </c>
      <c r="D334" t="s">
        <v>79</v>
      </c>
      <c r="E334" t="s">
        <v>52</v>
      </c>
      <c r="F334">
        <v>4</v>
      </c>
      <c r="G334">
        <v>964.91</v>
      </c>
      <c r="H334">
        <v>3859.64</v>
      </c>
      <c r="I334" t="s">
        <v>31</v>
      </c>
      <c r="J334">
        <f xml:space="preserve"> Sales_Data[[#This Row],[Quantity]] * Sales_Data[[#This Row],[Price]]</f>
        <v>3859.64</v>
      </c>
      <c r="K334" t="str">
        <f>TEXT(Sales_Data[[#This Row],[Order Date]],"MMM")</f>
        <v>Nov</v>
      </c>
      <c r="L334">
        <f>YEAR(Sales_Data[[#This Row],[Order Date]])</f>
        <v>2023</v>
      </c>
    </row>
    <row r="335" spans="1:12">
      <c r="A335" t="s">
        <v>685</v>
      </c>
      <c r="B335" s="1" t="s">
        <v>21</v>
      </c>
      <c r="C335" t="s">
        <v>231</v>
      </c>
      <c r="D335" t="s">
        <v>39</v>
      </c>
      <c r="E335" t="s">
        <v>40</v>
      </c>
      <c r="F335">
        <v>1</v>
      </c>
      <c r="G335">
        <v>1484.56</v>
      </c>
      <c r="H335">
        <v>1484.56</v>
      </c>
      <c r="I335" t="s">
        <v>23</v>
      </c>
      <c r="J335">
        <f xml:space="preserve"> Sales_Data[[#This Row],[Quantity]] * Sales_Data[[#This Row],[Price]]</f>
        <v>1484.56</v>
      </c>
      <c r="K335" t="str">
        <f>TEXT(Sales_Data[[#This Row],[Order Date]],"MMM")</f>
        <v>Aug</v>
      </c>
      <c r="L335">
        <f>YEAR(Sales_Data[[#This Row],[Order Date]])</f>
        <v>2023</v>
      </c>
    </row>
    <row r="336" spans="1:12">
      <c r="A336" t="s">
        <v>686</v>
      </c>
      <c r="B336" s="1" t="s">
        <v>616</v>
      </c>
      <c r="C336" t="s">
        <v>278</v>
      </c>
      <c r="D336" t="s">
        <v>39</v>
      </c>
      <c r="E336" t="s">
        <v>40</v>
      </c>
      <c r="F336">
        <v>1</v>
      </c>
      <c r="G336">
        <v>1674.44</v>
      </c>
      <c r="H336">
        <v>1674.44</v>
      </c>
      <c r="I336" t="s">
        <v>14</v>
      </c>
      <c r="J336">
        <f xml:space="preserve"> Sales_Data[[#This Row],[Quantity]] * Sales_Data[[#This Row],[Price]]</f>
        <v>1674.44</v>
      </c>
      <c r="K336" t="str">
        <f>TEXT(Sales_Data[[#This Row],[Order Date]],"MMM")</f>
        <v>Oct</v>
      </c>
      <c r="L336">
        <f>YEAR(Sales_Data[[#This Row],[Order Date]])</f>
        <v>2023</v>
      </c>
    </row>
    <row r="337" spans="1:12">
      <c r="A337" t="s">
        <v>687</v>
      </c>
      <c r="B337" s="1" t="s">
        <v>594</v>
      </c>
      <c r="C337" t="s">
        <v>688</v>
      </c>
      <c r="D337" t="s">
        <v>18</v>
      </c>
      <c r="E337" t="s">
        <v>19</v>
      </c>
      <c r="F337">
        <v>4</v>
      </c>
      <c r="G337">
        <v>1783.07</v>
      </c>
      <c r="H337">
        <v>7132.28</v>
      </c>
      <c r="I337" t="s">
        <v>31</v>
      </c>
      <c r="J337">
        <f xml:space="preserve"> Sales_Data[[#This Row],[Quantity]] * Sales_Data[[#This Row],[Price]]</f>
        <v>7132.28</v>
      </c>
      <c r="K337" t="str">
        <f>TEXT(Sales_Data[[#This Row],[Order Date]],"MMM")</f>
        <v>Mar</v>
      </c>
      <c r="L337">
        <f>YEAR(Sales_Data[[#This Row],[Order Date]])</f>
        <v>2023</v>
      </c>
    </row>
    <row r="338" spans="1:12">
      <c r="A338" t="s">
        <v>689</v>
      </c>
      <c r="B338" s="1" t="s">
        <v>690</v>
      </c>
      <c r="C338" t="s">
        <v>55</v>
      </c>
      <c r="D338" t="s">
        <v>30</v>
      </c>
      <c r="E338" t="s">
        <v>19</v>
      </c>
      <c r="F338">
        <v>4</v>
      </c>
      <c r="G338">
        <v>160.54</v>
      </c>
      <c r="H338">
        <v>642.16</v>
      </c>
      <c r="I338" t="s">
        <v>31</v>
      </c>
      <c r="J338">
        <f xml:space="preserve"> Sales_Data[[#This Row],[Quantity]] * Sales_Data[[#This Row],[Price]]</f>
        <v>642.16</v>
      </c>
      <c r="K338" t="str">
        <f>TEXT(Sales_Data[[#This Row],[Order Date]],"MMM")</f>
        <v>Nov</v>
      </c>
      <c r="L338">
        <f>YEAR(Sales_Data[[#This Row],[Order Date]])</f>
        <v>2023</v>
      </c>
    </row>
    <row r="339" spans="1:12">
      <c r="A339" t="s">
        <v>691</v>
      </c>
      <c r="B339" s="1" t="s">
        <v>355</v>
      </c>
      <c r="C339" t="s">
        <v>408</v>
      </c>
      <c r="D339" t="s">
        <v>79</v>
      </c>
      <c r="E339" t="s">
        <v>52</v>
      </c>
      <c r="F339">
        <v>4</v>
      </c>
      <c r="G339">
        <v>1094.5</v>
      </c>
      <c r="H339">
        <v>4378</v>
      </c>
      <c r="I339" t="s">
        <v>31</v>
      </c>
      <c r="J339">
        <f xml:space="preserve"> Sales_Data[[#This Row],[Quantity]] * Sales_Data[[#This Row],[Price]]</f>
        <v>4378</v>
      </c>
      <c r="K339" t="str">
        <f>TEXT(Sales_Data[[#This Row],[Order Date]],"MMM")</f>
        <v>Jan</v>
      </c>
      <c r="L339">
        <f>YEAR(Sales_Data[[#This Row],[Order Date]])</f>
        <v>2023</v>
      </c>
    </row>
    <row r="340" spans="1:12">
      <c r="A340" t="s">
        <v>692</v>
      </c>
      <c r="B340" s="1" t="s">
        <v>264</v>
      </c>
      <c r="C340" t="s">
        <v>140</v>
      </c>
      <c r="D340" t="s">
        <v>12</v>
      </c>
      <c r="E340" t="s">
        <v>13</v>
      </c>
      <c r="F340">
        <v>1</v>
      </c>
      <c r="G340">
        <v>687.13</v>
      </c>
      <c r="H340">
        <v>687.13</v>
      </c>
      <c r="I340" t="s">
        <v>14</v>
      </c>
      <c r="J340">
        <f xml:space="preserve"> Sales_Data[[#This Row],[Quantity]] * Sales_Data[[#This Row],[Price]]</f>
        <v>687.13</v>
      </c>
      <c r="K340" t="str">
        <f>TEXT(Sales_Data[[#This Row],[Order Date]],"MMM")</f>
        <v>Jun</v>
      </c>
      <c r="L340">
        <f>YEAR(Sales_Data[[#This Row],[Order Date]])</f>
        <v>2023</v>
      </c>
    </row>
    <row r="341" spans="1:12">
      <c r="A341" t="s">
        <v>693</v>
      </c>
      <c r="B341" s="1" t="s">
        <v>628</v>
      </c>
      <c r="C341" t="s">
        <v>208</v>
      </c>
      <c r="D341" t="s">
        <v>51</v>
      </c>
      <c r="E341" t="s">
        <v>52</v>
      </c>
      <c r="F341">
        <v>5</v>
      </c>
      <c r="G341">
        <v>473.53</v>
      </c>
      <c r="H341">
        <v>2367.65</v>
      </c>
      <c r="I341" t="s">
        <v>14</v>
      </c>
      <c r="J341">
        <f xml:space="preserve"> Sales_Data[[#This Row],[Quantity]] * Sales_Data[[#This Row],[Price]]</f>
        <v>2367.6499999999996</v>
      </c>
      <c r="K341" t="str">
        <f>TEXT(Sales_Data[[#This Row],[Order Date]],"MMM")</f>
        <v>Jun</v>
      </c>
      <c r="L341">
        <f>YEAR(Sales_Data[[#This Row],[Order Date]])</f>
        <v>2023</v>
      </c>
    </row>
    <row r="342" spans="1:12">
      <c r="A342" t="s">
        <v>694</v>
      </c>
      <c r="B342" s="1" t="s">
        <v>33</v>
      </c>
      <c r="C342" t="s">
        <v>113</v>
      </c>
      <c r="D342" t="s">
        <v>79</v>
      </c>
      <c r="E342" t="s">
        <v>52</v>
      </c>
      <c r="F342">
        <v>2</v>
      </c>
      <c r="G342">
        <v>1677.77</v>
      </c>
      <c r="H342">
        <v>3355.54</v>
      </c>
      <c r="I342" t="s">
        <v>47</v>
      </c>
      <c r="J342">
        <f xml:space="preserve"> Sales_Data[[#This Row],[Quantity]] * Sales_Data[[#This Row],[Price]]</f>
        <v>3355.54</v>
      </c>
      <c r="K342" t="str">
        <f>TEXT(Sales_Data[[#This Row],[Order Date]],"MMM")</f>
        <v>Dec</v>
      </c>
      <c r="L342">
        <f>YEAR(Sales_Data[[#This Row],[Order Date]])</f>
        <v>2023</v>
      </c>
    </row>
    <row r="343" spans="1:12">
      <c r="A343" t="s">
        <v>695</v>
      </c>
      <c r="B343" s="1" t="s">
        <v>696</v>
      </c>
      <c r="C343" t="s">
        <v>135</v>
      </c>
      <c r="D343" t="s">
        <v>51</v>
      </c>
      <c r="E343" t="s">
        <v>52</v>
      </c>
      <c r="F343">
        <v>3</v>
      </c>
      <c r="G343">
        <v>1048.4000000000001</v>
      </c>
      <c r="H343">
        <v>3145.2</v>
      </c>
      <c r="I343" t="s">
        <v>47</v>
      </c>
      <c r="J343">
        <f xml:space="preserve"> Sales_Data[[#This Row],[Quantity]] * Sales_Data[[#This Row],[Price]]</f>
        <v>3145.2000000000003</v>
      </c>
      <c r="K343" t="str">
        <f>TEXT(Sales_Data[[#This Row],[Order Date]],"MMM")</f>
        <v>Nov</v>
      </c>
      <c r="L343">
        <f>YEAR(Sales_Data[[#This Row],[Order Date]])</f>
        <v>2023</v>
      </c>
    </row>
    <row r="344" spans="1:12">
      <c r="A344" t="s">
        <v>697</v>
      </c>
      <c r="B344" s="1" t="s">
        <v>628</v>
      </c>
      <c r="C344" t="s">
        <v>555</v>
      </c>
      <c r="D344" t="s">
        <v>79</v>
      </c>
      <c r="E344" t="s">
        <v>52</v>
      </c>
      <c r="F344">
        <v>4</v>
      </c>
      <c r="G344">
        <v>638.22</v>
      </c>
      <c r="H344">
        <v>2552.88</v>
      </c>
      <c r="I344" t="s">
        <v>14</v>
      </c>
      <c r="J344">
        <f xml:space="preserve"> Sales_Data[[#This Row],[Quantity]] * Sales_Data[[#This Row],[Price]]</f>
        <v>2552.88</v>
      </c>
      <c r="K344" t="str">
        <f>TEXT(Sales_Data[[#This Row],[Order Date]],"MMM")</f>
        <v>Jun</v>
      </c>
      <c r="L344">
        <f>YEAR(Sales_Data[[#This Row],[Order Date]])</f>
        <v>2023</v>
      </c>
    </row>
    <row r="345" spans="1:12">
      <c r="A345" t="s">
        <v>698</v>
      </c>
      <c r="B345" s="1" t="s">
        <v>253</v>
      </c>
      <c r="C345" t="s">
        <v>358</v>
      </c>
      <c r="D345" t="s">
        <v>39</v>
      </c>
      <c r="E345" t="s">
        <v>40</v>
      </c>
      <c r="F345">
        <v>5</v>
      </c>
      <c r="G345">
        <v>1374.47</v>
      </c>
      <c r="H345">
        <v>6872.35</v>
      </c>
      <c r="I345" t="s">
        <v>31</v>
      </c>
      <c r="J345">
        <f xml:space="preserve"> Sales_Data[[#This Row],[Quantity]] * Sales_Data[[#This Row],[Price]]</f>
        <v>6872.35</v>
      </c>
      <c r="K345" t="str">
        <f>TEXT(Sales_Data[[#This Row],[Order Date]],"MMM")</f>
        <v>Oct</v>
      </c>
      <c r="L345">
        <f>YEAR(Sales_Data[[#This Row],[Order Date]])</f>
        <v>2023</v>
      </c>
    </row>
    <row r="346" spans="1:12">
      <c r="A346" t="s">
        <v>699</v>
      </c>
      <c r="B346" s="1" t="s">
        <v>315</v>
      </c>
      <c r="C346" t="s">
        <v>55</v>
      </c>
      <c r="D346" t="s">
        <v>51</v>
      </c>
      <c r="E346" t="s">
        <v>52</v>
      </c>
      <c r="F346">
        <v>1</v>
      </c>
      <c r="G346">
        <v>1130.02</v>
      </c>
      <c r="H346">
        <v>1130.02</v>
      </c>
      <c r="I346" t="s">
        <v>23</v>
      </c>
      <c r="J346">
        <f xml:space="preserve"> Sales_Data[[#This Row],[Quantity]] * Sales_Data[[#This Row],[Price]]</f>
        <v>1130.02</v>
      </c>
      <c r="K346" t="str">
        <f>TEXT(Sales_Data[[#This Row],[Order Date]],"MMM")</f>
        <v>Apr</v>
      </c>
      <c r="L346">
        <f>YEAR(Sales_Data[[#This Row],[Order Date]])</f>
        <v>2023</v>
      </c>
    </row>
    <row r="347" spans="1:12">
      <c r="A347" t="s">
        <v>700</v>
      </c>
      <c r="B347" s="1" t="s">
        <v>701</v>
      </c>
      <c r="C347" t="s">
        <v>172</v>
      </c>
      <c r="D347" t="s">
        <v>30</v>
      </c>
      <c r="E347" t="s">
        <v>19</v>
      </c>
      <c r="F347">
        <v>4</v>
      </c>
      <c r="G347">
        <v>913.77</v>
      </c>
      <c r="H347">
        <v>3655.08</v>
      </c>
      <c r="I347" t="s">
        <v>23</v>
      </c>
      <c r="J347">
        <f xml:space="preserve"> Sales_Data[[#This Row],[Quantity]] * Sales_Data[[#This Row],[Price]]</f>
        <v>3655.08</v>
      </c>
      <c r="K347" t="str">
        <f>TEXT(Sales_Data[[#This Row],[Order Date]],"MMM")</f>
        <v>Jul</v>
      </c>
      <c r="L347">
        <f>YEAR(Sales_Data[[#This Row],[Order Date]])</f>
        <v>2023</v>
      </c>
    </row>
    <row r="348" spans="1:12">
      <c r="A348" t="s">
        <v>702</v>
      </c>
      <c r="B348" s="1" t="s">
        <v>331</v>
      </c>
      <c r="C348" t="s">
        <v>183</v>
      </c>
      <c r="D348" t="s">
        <v>59</v>
      </c>
      <c r="E348" t="s">
        <v>40</v>
      </c>
      <c r="F348">
        <v>1</v>
      </c>
      <c r="G348">
        <v>1283.43</v>
      </c>
      <c r="H348">
        <v>1283.43</v>
      </c>
      <c r="I348" t="s">
        <v>47</v>
      </c>
      <c r="J348">
        <f xml:space="preserve"> Sales_Data[[#This Row],[Quantity]] * Sales_Data[[#This Row],[Price]]</f>
        <v>1283.43</v>
      </c>
      <c r="K348" t="str">
        <f>TEXT(Sales_Data[[#This Row],[Order Date]],"MMM")</f>
        <v>Sept</v>
      </c>
      <c r="L348">
        <f>YEAR(Sales_Data[[#This Row],[Order Date]])</f>
        <v>2023</v>
      </c>
    </row>
    <row r="349" spans="1:12">
      <c r="A349" t="s">
        <v>703</v>
      </c>
      <c r="B349" s="1" t="s">
        <v>704</v>
      </c>
      <c r="C349" t="s">
        <v>494</v>
      </c>
      <c r="D349" t="s">
        <v>30</v>
      </c>
      <c r="E349" t="s">
        <v>19</v>
      </c>
      <c r="F349">
        <v>4</v>
      </c>
      <c r="G349">
        <v>1009.09</v>
      </c>
      <c r="H349">
        <v>4036.36</v>
      </c>
      <c r="I349" t="s">
        <v>31</v>
      </c>
      <c r="J349">
        <f xml:space="preserve"> Sales_Data[[#This Row],[Quantity]] * Sales_Data[[#This Row],[Price]]</f>
        <v>4036.36</v>
      </c>
      <c r="K349" t="str">
        <f>TEXT(Sales_Data[[#This Row],[Order Date]],"MMM")</f>
        <v>Feb</v>
      </c>
      <c r="L349">
        <f>YEAR(Sales_Data[[#This Row],[Order Date]])</f>
        <v>2023</v>
      </c>
    </row>
    <row r="350" spans="1:12">
      <c r="A350" t="s">
        <v>705</v>
      </c>
      <c r="B350" s="1" t="s">
        <v>706</v>
      </c>
      <c r="C350" t="s">
        <v>189</v>
      </c>
      <c r="D350" t="s">
        <v>39</v>
      </c>
      <c r="E350" t="s">
        <v>40</v>
      </c>
      <c r="F350">
        <v>4</v>
      </c>
      <c r="G350">
        <v>188.88</v>
      </c>
      <c r="H350">
        <v>755.52</v>
      </c>
      <c r="I350" t="s">
        <v>23</v>
      </c>
      <c r="J350">
        <f xml:space="preserve"> Sales_Data[[#This Row],[Quantity]] * Sales_Data[[#This Row],[Price]]</f>
        <v>755.52</v>
      </c>
      <c r="K350" t="str">
        <f>TEXT(Sales_Data[[#This Row],[Order Date]],"MMM")</f>
        <v>Jul</v>
      </c>
      <c r="L350">
        <f>YEAR(Sales_Data[[#This Row],[Order Date]])</f>
        <v>2023</v>
      </c>
    </row>
    <row r="351" spans="1:12">
      <c r="A351" t="s">
        <v>707</v>
      </c>
      <c r="B351" s="1" t="s">
        <v>64</v>
      </c>
      <c r="C351" t="s">
        <v>365</v>
      </c>
      <c r="D351" t="s">
        <v>110</v>
      </c>
      <c r="E351" t="s">
        <v>52</v>
      </c>
      <c r="F351">
        <v>2</v>
      </c>
      <c r="G351">
        <v>267.32</v>
      </c>
      <c r="H351">
        <v>534.64</v>
      </c>
      <c r="I351" t="s">
        <v>47</v>
      </c>
      <c r="J351">
        <f xml:space="preserve"> Sales_Data[[#This Row],[Quantity]] * Sales_Data[[#This Row],[Price]]</f>
        <v>534.64</v>
      </c>
      <c r="K351" t="str">
        <f>TEXT(Sales_Data[[#This Row],[Order Date]],"MMM")</f>
        <v>Nov</v>
      </c>
      <c r="L351">
        <f>YEAR(Sales_Data[[#This Row],[Order Date]])</f>
        <v>2023</v>
      </c>
    </row>
    <row r="352" spans="1:12">
      <c r="A352" t="s">
        <v>708</v>
      </c>
      <c r="B352" s="1" t="s">
        <v>280</v>
      </c>
      <c r="C352" t="s">
        <v>278</v>
      </c>
      <c r="D352" t="s">
        <v>59</v>
      </c>
      <c r="E352" t="s">
        <v>40</v>
      </c>
      <c r="F352">
        <v>5</v>
      </c>
      <c r="G352">
        <v>1831.87</v>
      </c>
      <c r="H352">
        <v>9159.35</v>
      </c>
      <c r="I352" t="s">
        <v>23</v>
      </c>
      <c r="J352">
        <f xml:space="preserve"> Sales_Data[[#This Row],[Quantity]] * Sales_Data[[#This Row],[Price]]</f>
        <v>9159.3499999999985</v>
      </c>
      <c r="K352" t="str">
        <f>TEXT(Sales_Data[[#This Row],[Order Date]],"MMM")</f>
        <v>Jul</v>
      </c>
      <c r="L352">
        <f>YEAR(Sales_Data[[#This Row],[Order Date]])</f>
        <v>2023</v>
      </c>
    </row>
    <row r="353" spans="1:12">
      <c r="A353" t="s">
        <v>709</v>
      </c>
      <c r="B353" s="1" t="s">
        <v>10</v>
      </c>
      <c r="C353" t="s">
        <v>135</v>
      </c>
      <c r="D353" t="s">
        <v>79</v>
      </c>
      <c r="E353" t="s">
        <v>52</v>
      </c>
      <c r="F353">
        <v>4</v>
      </c>
      <c r="G353">
        <v>152.4</v>
      </c>
      <c r="H353">
        <v>609.6</v>
      </c>
      <c r="I353" t="s">
        <v>47</v>
      </c>
      <c r="J353">
        <f xml:space="preserve"> Sales_Data[[#This Row],[Quantity]] * Sales_Data[[#This Row],[Price]]</f>
        <v>609.6</v>
      </c>
      <c r="K353" t="str">
        <f>TEXT(Sales_Data[[#This Row],[Order Date]],"MMM")</f>
        <v>Apr</v>
      </c>
      <c r="L353">
        <f>YEAR(Sales_Data[[#This Row],[Order Date]])</f>
        <v>2023</v>
      </c>
    </row>
    <row r="354" spans="1:12">
      <c r="A354" t="s">
        <v>710</v>
      </c>
      <c r="B354" s="1" t="s">
        <v>289</v>
      </c>
      <c r="C354" t="s">
        <v>449</v>
      </c>
      <c r="D354" t="s">
        <v>51</v>
      </c>
      <c r="E354" t="s">
        <v>52</v>
      </c>
      <c r="F354">
        <v>2</v>
      </c>
      <c r="G354">
        <v>392.13</v>
      </c>
      <c r="H354">
        <v>784.26</v>
      </c>
      <c r="I354" t="s">
        <v>31</v>
      </c>
      <c r="J354">
        <f xml:space="preserve"> Sales_Data[[#This Row],[Quantity]] * Sales_Data[[#This Row],[Price]]</f>
        <v>784.26</v>
      </c>
      <c r="K354" t="str">
        <f>TEXT(Sales_Data[[#This Row],[Order Date]],"MMM")</f>
        <v>Jan</v>
      </c>
      <c r="L354">
        <f>YEAR(Sales_Data[[#This Row],[Order Date]])</f>
        <v>2023</v>
      </c>
    </row>
    <row r="355" spans="1:12">
      <c r="A355" t="s">
        <v>711</v>
      </c>
      <c r="B355" s="1" t="s">
        <v>134</v>
      </c>
      <c r="C355" t="s">
        <v>246</v>
      </c>
      <c r="D355" t="s">
        <v>12</v>
      </c>
      <c r="E355" t="s">
        <v>13</v>
      </c>
      <c r="F355">
        <v>2</v>
      </c>
      <c r="G355">
        <v>499.83</v>
      </c>
      <c r="H355">
        <v>999.66</v>
      </c>
      <c r="I355" t="s">
        <v>23</v>
      </c>
      <c r="J355">
        <f xml:space="preserve"> Sales_Data[[#This Row],[Quantity]] * Sales_Data[[#This Row],[Price]]</f>
        <v>999.66</v>
      </c>
      <c r="K355" t="str">
        <f>TEXT(Sales_Data[[#This Row],[Order Date]],"MMM")</f>
        <v>Aug</v>
      </c>
      <c r="L355">
        <f>YEAR(Sales_Data[[#This Row],[Order Date]])</f>
        <v>2023</v>
      </c>
    </row>
    <row r="356" spans="1:12">
      <c r="A356" t="s">
        <v>712</v>
      </c>
      <c r="B356" s="1" t="s">
        <v>713</v>
      </c>
      <c r="C356" t="s">
        <v>183</v>
      </c>
      <c r="D356" t="s">
        <v>39</v>
      </c>
      <c r="E356" t="s">
        <v>40</v>
      </c>
      <c r="F356">
        <v>1</v>
      </c>
      <c r="G356">
        <v>715.82</v>
      </c>
      <c r="H356">
        <v>715.82</v>
      </c>
      <c r="I356" t="s">
        <v>14</v>
      </c>
      <c r="J356">
        <f xml:space="preserve"> Sales_Data[[#This Row],[Quantity]] * Sales_Data[[#This Row],[Price]]</f>
        <v>715.82</v>
      </c>
      <c r="K356" t="str">
        <f>TEXT(Sales_Data[[#This Row],[Order Date]],"MMM")</f>
        <v>Aug</v>
      </c>
      <c r="L356">
        <f>YEAR(Sales_Data[[#This Row],[Order Date]])</f>
        <v>2023</v>
      </c>
    </row>
    <row r="357" spans="1:12">
      <c r="A357" t="s">
        <v>714</v>
      </c>
      <c r="B357" s="1" t="s">
        <v>233</v>
      </c>
      <c r="C357" t="s">
        <v>343</v>
      </c>
      <c r="D357" t="s">
        <v>51</v>
      </c>
      <c r="E357" t="s">
        <v>52</v>
      </c>
      <c r="F357">
        <v>4</v>
      </c>
      <c r="G357">
        <v>516.84</v>
      </c>
      <c r="H357">
        <v>2067.36</v>
      </c>
      <c r="I357" t="s">
        <v>14</v>
      </c>
      <c r="J357">
        <f xml:space="preserve"> Sales_Data[[#This Row],[Quantity]] * Sales_Data[[#This Row],[Price]]</f>
        <v>2067.36</v>
      </c>
      <c r="K357" t="str">
        <f>TEXT(Sales_Data[[#This Row],[Order Date]],"MMM")</f>
        <v>Dec</v>
      </c>
      <c r="L357">
        <f>YEAR(Sales_Data[[#This Row],[Order Date]])</f>
        <v>2023</v>
      </c>
    </row>
    <row r="358" spans="1:12">
      <c r="A358" t="s">
        <v>715</v>
      </c>
      <c r="B358" s="1" t="s">
        <v>49</v>
      </c>
      <c r="C358" t="s">
        <v>55</v>
      </c>
      <c r="D358" t="s">
        <v>51</v>
      </c>
      <c r="E358" t="s">
        <v>52</v>
      </c>
      <c r="F358">
        <v>2</v>
      </c>
      <c r="G358">
        <v>658.61</v>
      </c>
      <c r="H358">
        <v>1317.22</v>
      </c>
      <c r="I358" t="s">
        <v>47</v>
      </c>
      <c r="J358">
        <f xml:space="preserve"> Sales_Data[[#This Row],[Quantity]] * Sales_Data[[#This Row],[Price]]</f>
        <v>1317.22</v>
      </c>
      <c r="K358" t="str">
        <f>TEXT(Sales_Data[[#This Row],[Order Date]],"MMM")</f>
        <v>Jan</v>
      </c>
      <c r="L358">
        <f>YEAR(Sales_Data[[#This Row],[Order Date]])</f>
        <v>2023</v>
      </c>
    </row>
    <row r="359" spans="1:12">
      <c r="A359" t="s">
        <v>716</v>
      </c>
      <c r="B359" s="1" t="s">
        <v>717</v>
      </c>
      <c r="C359" t="s">
        <v>70</v>
      </c>
      <c r="D359" t="s">
        <v>12</v>
      </c>
      <c r="E359" t="s">
        <v>13</v>
      </c>
      <c r="F359">
        <v>3</v>
      </c>
      <c r="G359">
        <v>595.96</v>
      </c>
      <c r="H359">
        <v>1787.88</v>
      </c>
      <c r="I359" t="s">
        <v>23</v>
      </c>
      <c r="J359">
        <f xml:space="preserve"> Sales_Data[[#This Row],[Quantity]] * Sales_Data[[#This Row],[Price]]</f>
        <v>1787.88</v>
      </c>
      <c r="K359" t="str">
        <f>TEXT(Sales_Data[[#This Row],[Order Date]],"MMM")</f>
        <v>Dec</v>
      </c>
      <c r="L359">
        <f>YEAR(Sales_Data[[#This Row],[Order Date]])</f>
        <v>2023</v>
      </c>
    </row>
    <row r="360" spans="1:12">
      <c r="A360" t="s">
        <v>718</v>
      </c>
      <c r="B360" s="1" t="s">
        <v>289</v>
      </c>
      <c r="C360" t="s">
        <v>105</v>
      </c>
      <c r="D360" t="s">
        <v>39</v>
      </c>
      <c r="E360" t="s">
        <v>40</v>
      </c>
      <c r="F360">
        <v>3</v>
      </c>
      <c r="G360">
        <v>56.54</v>
      </c>
      <c r="H360">
        <v>169.62</v>
      </c>
      <c r="I360" t="s">
        <v>31</v>
      </c>
      <c r="J360">
        <f xml:space="preserve"> Sales_Data[[#This Row],[Quantity]] * Sales_Data[[#This Row],[Price]]</f>
        <v>169.62</v>
      </c>
      <c r="K360" t="str">
        <f>TEXT(Sales_Data[[#This Row],[Order Date]],"MMM")</f>
        <v>Jan</v>
      </c>
      <c r="L360">
        <f>YEAR(Sales_Data[[#This Row],[Order Date]])</f>
        <v>2023</v>
      </c>
    </row>
    <row r="361" spans="1:12">
      <c r="A361" t="s">
        <v>719</v>
      </c>
      <c r="B361" s="1" t="s">
        <v>720</v>
      </c>
      <c r="C361" t="s">
        <v>721</v>
      </c>
      <c r="D361" t="s">
        <v>18</v>
      </c>
      <c r="E361" t="s">
        <v>19</v>
      </c>
      <c r="F361">
        <v>2</v>
      </c>
      <c r="G361">
        <v>1822.8</v>
      </c>
      <c r="H361">
        <v>3645.6</v>
      </c>
      <c r="I361" t="s">
        <v>31</v>
      </c>
      <c r="J361">
        <f xml:space="preserve"> Sales_Data[[#This Row],[Quantity]] * Sales_Data[[#This Row],[Price]]</f>
        <v>3645.6</v>
      </c>
      <c r="K361" t="str">
        <f>TEXT(Sales_Data[[#This Row],[Order Date]],"MMM")</f>
        <v>Nov</v>
      </c>
      <c r="L361">
        <f>YEAR(Sales_Data[[#This Row],[Order Date]])</f>
        <v>2023</v>
      </c>
    </row>
    <row r="362" spans="1:12">
      <c r="A362" t="s">
        <v>722</v>
      </c>
      <c r="B362" s="1" t="s">
        <v>583</v>
      </c>
      <c r="C362" t="s">
        <v>228</v>
      </c>
      <c r="D362" t="s">
        <v>51</v>
      </c>
      <c r="E362" t="s">
        <v>52</v>
      </c>
      <c r="F362">
        <v>1</v>
      </c>
      <c r="G362">
        <v>1039.9100000000001</v>
      </c>
      <c r="H362">
        <v>1039.9100000000001</v>
      </c>
      <c r="I362" t="s">
        <v>23</v>
      </c>
      <c r="J362">
        <f xml:space="preserve"> Sales_Data[[#This Row],[Quantity]] * Sales_Data[[#This Row],[Price]]</f>
        <v>1039.9100000000001</v>
      </c>
      <c r="K362" t="str">
        <f>TEXT(Sales_Data[[#This Row],[Order Date]],"MMM")</f>
        <v>Mar</v>
      </c>
      <c r="L362">
        <f>YEAR(Sales_Data[[#This Row],[Order Date]])</f>
        <v>2023</v>
      </c>
    </row>
    <row r="363" spans="1:12">
      <c r="A363" t="s">
        <v>723</v>
      </c>
      <c r="B363" s="1" t="s">
        <v>645</v>
      </c>
      <c r="C363" t="s">
        <v>614</v>
      </c>
      <c r="D363" t="s">
        <v>18</v>
      </c>
      <c r="E363" t="s">
        <v>19</v>
      </c>
      <c r="F363">
        <v>2</v>
      </c>
      <c r="G363">
        <v>410.35</v>
      </c>
      <c r="H363">
        <v>820.7</v>
      </c>
      <c r="I363" t="s">
        <v>14</v>
      </c>
      <c r="J363">
        <f xml:space="preserve"> Sales_Data[[#This Row],[Quantity]] * Sales_Data[[#This Row],[Price]]</f>
        <v>820.7</v>
      </c>
      <c r="K363" t="str">
        <f>TEXT(Sales_Data[[#This Row],[Order Date]],"MMM")</f>
        <v>Aug</v>
      </c>
      <c r="L363">
        <f>YEAR(Sales_Data[[#This Row],[Order Date]])</f>
        <v>2023</v>
      </c>
    </row>
    <row r="364" spans="1:12">
      <c r="A364" t="s">
        <v>724</v>
      </c>
      <c r="B364" s="1" t="s">
        <v>536</v>
      </c>
      <c r="C364" t="s">
        <v>456</v>
      </c>
      <c r="D364" t="s">
        <v>110</v>
      </c>
      <c r="E364" t="s">
        <v>52</v>
      </c>
      <c r="F364">
        <v>3</v>
      </c>
      <c r="G364">
        <v>436.48</v>
      </c>
      <c r="H364">
        <v>1309.44</v>
      </c>
      <c r="I364" t="s">
        <v>47</v>
      </c>
      <c r="J364">
        <f xml:space="preserve"> Sales_Data[[#This Row],[Quantity]] * Sales_Data[[#This Row],[Price]]</f>
        <v>1309.44</v>
      </c>
      <c r="K364" t="str">
        <f>TEXT(Sales_Data[[#This Row],[Order Date]],"MMM")</f>
        <v>May</v>
      </c>
      <c r="L364">
        <f>YEAR(Sales_Data[[#This Row],[Order Date]])</f>
        <v>2023</v>
      </c>
    </row>
    <row r="365" spans="1:12">
      <c r="A365" t="s">
        <v>725</v>
      </c>
      <c r="B365" s="1" t="s">
        <v>726</v>
      </c>
      <c r="C365" t="s">
        <v>721</v>
      </c>
      <c r="D365" t="s">
        <v>79</v>
      </c>
      <c r="E365" t="s">
        <v>52</v>
      </c>
      <c r="F365">
        <v>4</v>
      </c>
      <c r="G365">
        <v>764.23</v>
      </c>
      <c r="H365">
        <v>3056.92</v>
      </c>
      <c r="I365" t="s">
        <v>23</v>
      </c>
      <c r="J365">
        <f xml:space="preserve"> Sales_Data[[#This Row],[Quantity]] * Sales_Data[[#This Row],[Price]]</f>
        <v>3056.92</v>
      </c>
      <c r="K365" t="str">
        <f>TEXT(Sales_Data[[#This Row],[Order Date]],"MMM")</f>
        <v>Sept</v>
      </c>
      <c r="L365">
        <f>YEAR(Sales_Data[[#This Row],[Order Date]])</f>
        <v>2023</v>
      </c>
    </row>
    <row r="366" spans="1:12">
      <c r="A366" t="s">
        <v>727</v>
      </c>
      <c r="B366" s="1" t="s">
        <v>656</v>
      </c>
      <c r="C366" t="s">
        <v>34</v>
      </c>
      <c r="D366" t="s">
        <v>35</v>
      </c>
      <c r="E366" t="s">
        <v>13</v>
      </c>
      <c r="F366">
        <v>2</v>
      </c>
      <c r="G366">
        <v>612.17999999999995</v>
      </c>
      <c r="H366">
        <v>1224.3599999999999</v>
      </c>
      <c r="I366" t="s">
        <v>14</v>
      </c>
      <c r="J366">
        <f xml:space="preserve"> Sales_Data[[#This Row],[Quantity]] * Sales_Data[[#This Row],[Price]]</f>
        <v>1224.3599999999999</v>
      </c>
      <c r="K366" t="str">
        <f>TEXT(Sales_Data[[#This Row],[Order Date]],"MMM")</f>
        <v>Feb</v>
      </c>
      <c r="L366">
        <f>YEAR(Sales_Data[[#This Row],[Order Date]])</f>
        <v>2023</v>
      </c>
    </row>
    <row r="367" spans="1:12">
      <c r="A367" t="s">
        <v>728</v>
      </c>
      <c r="B367" s="1" t="s">
        <v>729</v>
      </c>
      <c r="C367" t="s">
        <v>422</v>
      </c>
      <c r="D367" t="s">
        <v>51</v>
      </c>
      <c r="E367" t="s">
        <v>52</v>
      </c>
      <c r="F367">
        <v>1</v>
      </c>
      <c r="G367">
        <v>1718.87</v>
      </c>
      <c r="H367">
        <v>1718.87</v>
      </c>
      <c r="I367" t="s">
        <v>31</v>
      </c>
      <c r="J367">
        <f xml:space="preserve"> Sales_Data[[#This Row],[Quantity]] * Sales_Data[[#This Row],[Price]]</f>
        <v>1718.87</v>
      </c>
      <c r="K367" t="str">
        <f>TEXT(Sales_Data[[#This Row],[Order Date]],"MMM")</f>
        <v>Oct</v>
      </c>
      <c r="L367">
        <f>YEAR(Sales_Data[[#This Row],[Order Date]])</f>
        <v>2023</v>
      </c>
    </row>
    <row r="368" spans="1:12">
      <c r="A368" t="s">
        <v>730</v>
      </c>
      <c r="B368" s="1" t="s">
        <v>352</v>
      </c>
      <c r="C368" t="s">
        <v>494</v>
      </c>
      <c r="D368" t="s">
        <v>12</v>
      </c>
      <c r="E368" t="s">
        <v>13</v>
      </c>
      <c r="F368">
        <v>1</v>
      </c>
      <c r="G368">
        <v>826.76</v>
      </c>
      <c r="H368">
        <v>826.76</v>
      </c>
      <c r="I368" t="s">
        <v>14</v>
      </c>
      <c r="J368">
        <f xml:space="preserve"> Sales_Data[[#This Row],[Quantity]] * Sales_Data[[#This Row],[Price]]</f>
        <v>826.76</v>
      </c>
      <c r="K368" t="str">
        <f>TEXT(Sales_Data[[#This Row],[Order Date]],"MMM")</f>
        <v>Mar</v>
      </c>
      <c r="L368">
        <f>YEAR(Sales_Data[[#This Row],[Order Date]])</f>
        <v>2023</v>
      </c>
    </row>
    <row r="369" spans="1:12">
      <c r="A369" t="s">
        <v>731</v>
      </c>
      <c r="B369" s="1" t="s">
        <v>502</v>
      </c>
      <c r="C369" t="s">
        <v>414</v>
      </c>
      <c r="D369" t="s">
        <v>12</v>
      </c>
      <c r="E369" t="s">
        <v>13</v>
      </c>
      <c r="F369">
        <v>1</v>
      </c>
      <c r="G369">
        <v>692.9</v>
      </c>
      <c r="H369">
        <v>692.9</v>
      </c>
      <c r="I369" t="s">
        <v>31</v>
      </c>
      <c r="J369">
        <f xml:space="preserve"> Sales_Data[[#This Row],[Quantity]] * Sales_Data[[#This Row],[Price]]</f>
        <v>692.9</v>
      </c>
      <c r="K369" t="str">
        <f>TEXT(Sales_Data[[#This Row],[Order Date]],"MMM")</f>
        <v>Jul</v>
      </c>
      <c r="L369">
        <f>YEAR(Sales_Data[[#This Row],[Order Date]])</f>
        <v>2023</v>
      </c>
    </row>
    <row r="370" spans="1:12">
      <c r="A370" t="s">
        <v>732</v>
      </c>
      <c r="B370" s="1" t="s">
        <v>117</v>
      </c>
      <c r="C370" t="s">
        <v>118</v>
      </c>
      <c r="D370" t="s">
        <v>110</v>
      </c>
      <c r="E370" t="s">
        <v>52</v>
      </c>
      <c r="F370">
        <v>2</v>
      </c>
      <c r="G370">
        <v>250.57</v>
      </c>
      <c r="H370">
        <v>501.14</v>
      </c>
      <c r="I370" t="s">
        <v>23</v>
      </c>
      <c r="J370">
        <f xml:space="preserve"> Sales_Data[[#This Row],[Quantity]] * Sales_Data[[#This Row],[Price]]</f>
        <v>501.14</v>
      </c>
      <c r="K370" t="str">
        <f>TEXT(Sales_Data[[#This Row],[Order Date]],"MMM")</f>
        <v>Feb</v>
      </c>
      <c r="L370">
        <f>YEAR(Sales_Data[[#This Row],[Order Date]])</f>
        <v>2023</v>
      </c>
    </row>
    <row r="371" spans="1:12">
      <c r="A371" t="s">
        <v>733</v>
      </c>
      <c r="B371" s="1" t="s">
        <v>734</v>
      </c>
      <c r="C371" t="s">
        <v>403</v>
      </c>
      <c r="D371" t="s">
        <v>51</v>
      </c>
      <c r="E371" t="s">
        <v>52</v>
      </c>
      <c r="F371">
        <v>3</v>
      </c>
      <c r="G371">
        <v>1499.4</v>
      </c>
      <c r="H371">
        <v>4498.2</v>
      </c>
      <c r="I371" t="s">
        <v>23</v>
      </c>
      <c r="J371">
        <f xml:space="preserve"> Sales_Data[[#This Row],[Quantity]] * Sales_Data[[#This Row],[Price]]</f>
        <v>4498.2000000000007</v>
      </c>
      <c r="K371" t="str">
        <f>TEXT(Sales_Data[[#This Row],[Order Date]],"MMM")</f>
        <v>May</v>
      </c>
      <c r="L371">
        <f>YEAR(Sales_Data[[#This Row],[Order Date]])</f>
        <v>2023</v>
      </c>
    </row>
    <row r="372" spans="1:12">
      <c r="A372" t="s">
        <v>735</v>
      </c>
      <c r="B372" s="1" t="s">
        <v>270</v>
      </c>
      <c r="C372" t="s">
        <v>146</v>
      </c>
      <c r="D372" t="s">
        <v>79</v>
      </c>
      <c r="E372" t="s">
        <v>52</v>
      </c>
      <c r="F372">
        <v>2</v>
      </c>
      <c r="G372">
        <v>1085.27</v>
      </c>
      <c r="H372">
        <v>2170.54</v>
      </c>
      <c r="I372" t="s">
        <v>23</v>
      </c>
      <c r="J372">
        <f xml:space="preserve"> Sales_Data[[#This Row],[Quantity]] * Sales_Data[[#This Row],[Price]]</f>
        <v>2170.54</v>
      </c>
      <c r="K372" t="str">
        <f>TEXT(Sales_Data[[#This Row],[Order Date]],"MMM")</f>
        <v>Apr</v>
      </c>
      <c r="L372">
        <f>YEAR(Sales_Data[[#This Row],[Order Date]])</f>
        <v>2023</v>
      </c>
    </row>
    <row r="373" spans="1:12">
      <c r="A373" t="s">
        <v>736</v>
      </c>
      <c r="B373" s="1" t="s">
        <v>737</v>
      </c>
      <c r="C373" t="s">
        <v>172</v>
      </c>
      <c r="D373" t="s">
        <v>35</v>
      </c>
      <c r="E373" t="s">
        <v>13</v>
      </c>
      <c r="F373">
        <v>2</v>
      </c>
      <c r="G373">
        <v>609.5</v>
      </c>
      <c r="H373">
        <v>1219</v>
      </c>
      <c r="I373" t="s">
        <v>23</v>
      </c>
      <c r="J373">
        <f xml:space="preserve"> Sales_Data[[#This Row],[Quantity]] * Sales_Data[[#This Row],[Price]]</f>
        <v>1219</v>
      </c>
      <c r="K373" t="str">
        <f>TEXT(Sales_Data[[#This Row],[Order Date]],"MMM")</f>
        <v>Aug</v>
      </c>
      <c r="L373">
        <f>YEAR(Sales_Data[[#This Row],[Order Date]])</f>
        <v>2023</v>
      </c>
    </row>
    <row r="374" spans="1:12">
      <c r="A374" t="s">
        <v>738</v>
      </c>
      <c r="B374" s="1" t="s">
        <v>739</v>
      </c>
      <c r="C374" t="s">
        <v>313</v>
      </c>
      <c r="D374" t="s">
        <v>59</v>
      </c>
      <c r="E374" t="s">
        <v>40</v>
      </c>
      <c r="F374">
        <v>4</v>
      </c>
      <c r="G374">
        <v>997.1</v>
      </c>
      <c r="H374">
        <v>3988.4</v>
      </c>
      <c r="I374" t="s">
        <v>14</v>
      </c>
      <c r="J374">
        <f xml:space="preserve"> Sales_Data[[#This Row],[Quantity]] * Sales_Data[[#This Row],[Price]]</f>
        <v>3988.4</v>
      </c>
      <c r="K374" t="str">
        <f>TEXT(Sales_Data[[#This Row],[Order Date]],"MMM")</f>
        <v>Oct</v>
      </c>
      <c r="L374">
        <f>YEAR(Sales_Data[[#This Row],[Order Date]])</f>
        <v>2023</v>
      </c>
    </row>
    <row r="375" spans="1:12">
      <c r="A375" t="s">
        <v>740</v>
      </c>
      <c r="B375" s="1" t="s">
        <v>741</v>
      </c>
      <c r="C375" t="s">
        <v>26</v>
      </c>
      <c r="D375" t="s">
        <v>59</v>
      </c>
      <c r="E375" t="s">
        <v>40</v>
      </c>
      <c r="F375">
        <v>4</v>
      </c>
      <c r="G375">
        <v>374.82</v>
      </c>
      <c r="H375">
        <v>1499.28</v>
      </c>
      <c r="I375" t="s">
        <v>14</v>
      </c>
      <c r="J375">
        <f xml:space="preserve"> Sales_Data[[#This Row],[Quantity]] * Sales_Data[[#This Row],[Price]]</f>
        <v>1499.28</v>
      </c>
      <c r="K375" t="str">
        <f>TEXT(Sales_Data[[#This Row],[Order Date]],"MMM")</f>
        <v>Nov</v>
      </c>
      <c r="L375">
        <f>YEAR(Sales_Data[[#This Row],[Order Date]])</f>
        <v>2023</v>
      </c>
    </row>
    <row r="376" spans="1:12">
      <c r="A376" t="s">
        <v>742</v>
      </c>
      <c r="B376" s="1" t="s">
        <v>743</v>
      </c>
      <c r="C376" t="s">
        <v>210</v>
      </c>
      <c r="D376" t="s">
        <v>30</v>
      </c>
      <c r="E376" t="s">
        <v>19</v>
      </c>
      <c r="F376">
        <v>3</v>
      </c>
      <c r="G376">
        <v>1373.5</v>
      </c>
      <c r="H376">
        <v>4120.5</v>
      </c>
      <c r="I376" t="s">
        <v>14</v>
      </c>
      <c r="J376">
        <f xml:space="preserve"> Sales_Data[[#This Row],[Quantity]] * Sales_Data[[#This Row],[Price]]</f>
        <v>4120.5</v>
      </c>
      <c r="K376" t="str">
        <f>TEXT(Sales_Data[[#This Row],[Order Date]],"MMM")</f>
        <v>Nov</v>
      </c>
      <c r="L376">
        <f>YEAR(Sales_Data[[#This Row],[Order Date]])</f>
        <v>2023</v>
      </c>
    </row>
    <row r="377" spans="1:12">
      <c r="A377" t="s">
        <v>744</v>
      </c>
      <c r="B377" s="1" t="s">
        <v>745</v>
      </c>
      <c r="C377" t="s">
        <v>177</v>
      </c>
      <c r="D377" t="s">
        <v>35</v>
      </c>
      <c r="E377" t="s">
        <v>13</v>
      </c>
      <c r="F377">
        <v>4</v>
      </c>
      <c r="G377">
        <v>1357.25</v>
      </c>
      <c r="H377">
        <v>5429</v>
      </c>
      <c r="I377" t="s">
        <v>47</v>
      </c>
      <c r="J377">
        <f xml:space="preserve"> Sales_Data[[#This Row],[Quantity]] * Sales_Data[[#This Row],[Price]]</f>
        <v>5429</v>
      </c>
      <c r="K377" t="str">
        <f>TEXT(Sales_Data[[#This Row],[Order Date]],"MMM")</f>
        <v>Dec</v>
      </c>
      <c r="L377">
        <f>YEAR(Sales_Data[[#This Row],[Order Date]])</f>
        <v>2023</v>
      </c>
    </row>
    <row r="378" spans="1:12">
      <c r="A378" t="s">
        <v>746</v>
      </c>
      <c r="B378" s="1" t="s">
        <v>747</v>
      </c>
      <c r="C378" t="s">
        <v>192</v>
      </c>
      <c r="D378" t="s">
        <v>30</v>
      </c>
      <c r="E378" t="s">
        <v>19</v>
      </c>
      <c r="F378">
        <v>2</v>
      </c>
      <c r="G378">
        <v>1195.68</v>
      </c>
      <c r="H378">
        <v>2391.36</v>
      </c>
      <c r="I378" t="s">
        <v>23</v>
      </c>
      <c r="J378">
        <f xml:space="preserve"> Sales_Data[[#This Row],[Quantity]] * Sales_Data[[#This Row],[Price]]</f>
        <v>2391.36</v>
      </c>
      <c r="K378" t="str">
        <f>TEXT(Sales_Data[[#This Row],[Order Date]],"MMM")</f>
        <v>Jul</v>
      </c>
      <c r="L378">
        <f>YEAR(Sales_Data[[#This Row],[Order Date]])</f>
        <v>2023</v>
      </c>
    </row>
    <row r="379" spans="1:12">
      <c r="A379" t="s">
        <v>748</v>
      </c>
      <c r="B379" s="1" t="s">
        <v>749</v>
      </c>
      <c r="C379" t="s">
        <v>62</v>
      </c>
      <c r="D379" t="s">
        <v>30</v>
      </c>
      <c r="E379" t="s">
        <v>19</v>
      </c>
      <c r="F379">
        <v>5</v>
      </c>
      <c r="G379">
        <v>1085.3499999999999</v>
      </c>
      <c r="H379">
        <v>5426.75</v>
      </c>
      <c r="I379" t="s">
        <v>14</v>
      </c>
      <c r="J379">
        <f xml:space="preserve"> Sales_Data[[#This Row],[Quantity]] * Sales_Data[[#This Row],[Price]]</f>
        <v>5426.75</v>
      </c>
      <c r="K379" t="str">
        <f>TEXT(Sales_Data[[#This Row],[Order Date]],"MMM")</f>
        <v>Feb</v>
      </c>
      <c r="L379">
        <f>YEAR(Sales_Data[[#This Row],[Order Date]])</f>
        <v>2023</v>
      </c>
    </row>
    <row r="380" spans="1:12">
      <c r="A380" t="s">
        <v>750</v>
      </c>
      <c r="B380" s="1" t="s">
        <v>751</v>
      </c>
      <c r="C380" t="s">
        <v>752</v>
      </c>
      <c r="D380" t="s">
        <v>12</v>
      </c>
      <c r="E380" t="s">
        <v>13</v>
      </c>
      <c r="F380">
        <v>3</v>
      </c>
      <c r="G380">
        <v>50.3</v>
      </c>
      <c r="H380">
        <v>150.9</v>
      </c>
      <c r="I380" t="s">
        <v>14</v>
      </c>
      <c r="J380">
        <f xml:space="preserve"> Sales_Data[[#This Row],[Quantity]] * Sales_Data[[#This Row],[Price]]</f>
        <v>150.89999999999998</v>
      </c>
      <c r="K380" t="str">
        <f>TEXT(Sales_Data[[#This Row],[Order Date]],"MMM")</f>
        <v>Jan</v>
      </c>
      <c r="L380">
        <f>YEAR(Sales_Data[[#This Row],[Order Date]])</f>
        <v>2023</v>
      </c>
    </row>
    <row r="381" spans="1:12">
      <c r="A381" t="s">
        <v>753</v>
      </c>
      <c r="B381" s="1" t="s">
        <v>152</v>
      </c>
      <c r="C381" t="s">
        <v>340</v>
      </c>
      <c r="D381" t="s">
        <v>39</v>
      </c>
      <c r="E381" t="s">
        <v>40</v>
      </c>
      <c r="F381">
        <v>5</v>
      </c>
      <c r="G381">
        <v>1618.59</v>
      </c>
      <c r="H381">
        <v>8092.95</v>
      </c>
      <c r="I381" t="s">
        <v>31</v>
      </c>
      <c r="J381">
        <f xml:space="preserve"> Sales_Data[[#This Row],[Quantity]] * Sales_Data[[#This Row],[Price]]</f>
        <v>8092.95</v>
      </c>
      <c r="K381" t="str">
        <f>TEXT(Sales_Data[[#This Row],[Order Date]],"MMM")</f>
        <v>Oct</v>
      </c>
      <c r="L381">
        <f>YEAR(Sales_Data[[#This Row],[Order Date]])</f>
        <v>2023</v>
      </c>
    </row>
    <row r="382" spans="1:12">
      <c r="A382" t="s">
        <v>754</v>
      </c>
      <c r="B382" s="1" t="s">
        <v>701</v>
      </c>
      <c r="C382" t="s">
        <v>82</v>
      </c>
      <c r="D382" t="s">
        <v>35</v>
      </c>
      <c r="E382" t="s">
        <v>13</v>
      </c>
      <c r="F382">
        <v>2</v>
      </c>
      <c r="G382">
        <v>392.51</v>
      </c>
      <c r="H382">
        <v>785.02</v>
      </c>
      <c r="I382" t="s">
        <v>31</v>
      </c>
      <c r="J382">
        <f xml:space="preserve"> Sales_Data[[#This Row],[Quantity]] * Sales_Data[[#This Row],[Price]]</f>
        <v>785.02</v>
      </c>
      <c r="K382" t="str">
        <f>TEXT(Sales_Data[[#This Row],[Order Date]],"MMM")</f>
        <v>Jul</v>
      </c>
      <c r="L382">
        <f>YEAR(Sales_Data[[#This Row],[Order Date]])</f>
        <v>2023</v>
      </c>
    </row>
    <row r="383" spans="1:12">
      <c r="A383" t="s">
        <v>755</v>
      </c>
      <c r="B383" s="1" t="s">
        <v>171</v>
      </c>
      <c r="C383" t="s">
        <v>143</v>
      </c>
      <c r="D383" t="s">
        <v>12</v>
      </c>
      <c r="E383" t="s">
        <v>13</v>
      </c>
      <c r="F383">
        <v>5</v>
      </c>
      <c r="G383">
        <v>485.96</v>
      </c>
      <c r="H383">
        <v>2429.8000000000002</v>
      </c>
      <c r="I383" t="s">
        <v>47</v>
      </c>
      <c r="J383">
        <f xml:space="preserve"> Sales_Data[[#This Row],[Quantity]] * Sales_Data[[#This Row],[Price]]</f>
        <v>2429.7999999999997</v>
      </c>
      <c r="K383" t="str">
        <f>TEXT(Sales_Data[[#This Row],[Order Date]],"MMM")</f>
        <v>May</v>
      </c>
      <c r="L383">
        <f>YEAR(Sales_Data[[#This Row],[Order Date]])</f>
        <v>2023</v>
      </c>
    </row>
    <row r="384" spans="1:12">
      <c r="A384" t="s">
        <v>756</v>
      </c>
      <c r="B384" s="1" t="s">
        <v>640</v>
      </c>
      <c r="C384" t="s">
        <v>153</v>
      </c>
      <c r="D384" t="s">
        <v>51</v>
      </c>
      <c r="E384" t="s">
        <v>52</v>
      </c>
      <c r="F384">
        <v>2</v>
      </c>
      <c r="G384">
        <v>1805.2</v>
      </c>
      <c r="H384">
        <v>3610.4</v>
      </c>
      <c r="I384" t="s">
        <v>31</v>
      </c>
      <c r="J384">
        <f xml:space="preserve"> Sales_Data[[#This Row],[Quantity]] * Sales_Data[[#This Row],[Price]]</f>
        <v>3610.4</v>
      </c>
      <c r="K384" t="str">
        <f>TEXT(Sales_Data[[#This Row],[Order Date]],"MMM")</f>
        <v>Apr</v>
      </c>
      <c r="L384">
        <f>YEAR(Sales_Data[[#This Row],[Order Date]])</f>
        <v>2023</v>
      </c>
    </row>
    <row r="385" spans="1:12">
      <c r="A385" t="s">
        <v>757</v>
      </c>
      <c r="B385" s="1" t="s">
        <v>758</v>
      </c>
      <c r="C385" t="s">
        <v>408</v>
      </c>
      <c r="D385" t="s">
        <v>35</v>
      </c>
      <c r="E385" t="s">
        <v>13</v>
      </c>
      <c r="F385">
        <v>3</v>
      </c>
      <c r="G385">
        <v>220.19</v>
      </c>
      <c r="H385">
        <v>660.57</v>
      </c>
      <c r="I385" t="s">
        <v>14</v>
      </c>
      <c r="J385">
        <f xml:space="preserve"> Sales_Data[[#This Row],[Quantity]] * Sales_Data[[#This Row],[Price]]</f>
        <v>660.56999999999994</v>
      </c>
      <c r="K385" t="str">
        <f>TEXT(Sales_Data[[#This Row],[Order Date]],"MMM")</f>
        <v>Apr</v>
      </c>
      <c r="L385">
        <f>YEAR(Sales_Data[[#This Row],[Order Date]])</f>
        <v>2023</v>
      </c>
    </row>
    <row r="386" spans="1:12">
      <c r="A386" t="s">
        <v>759</v>
      </c>
      <c r="B386" s="1" t="s">
        <v>760</v>
      </c>
      <c r="C386" t="s">
        <v>496</v>
      </c>
      <c r="D386" t="s">
        <v>18</v>
      </c>
      <c r="E386" t="s">
        <v>19</v>
      </c>
      <c r="F386">
        <v>4</v>
      </c>
      <c r="G386">
        <v>532.22</v>
      </c>
      <c r="H386">
        <v>2128.88</v>
      </c>
      <c r="I386" t="s">
        <v>31</v>
      </c>
      <c r="J386">
        <f xml:space="preserve"> Sales_Data[[#This Row],[Quantity]] * Sales_Data[[#This Row],[Price]]</f>
        <v>2128.88</v>
      </c>
      <c r="K386" t="str">
        <f>TEXT(Sales_Data[[#This Row],[Order Date]],"MMM")</f>
        <v>Aug</v>
      </c>
      <c r="L386">
        <f>YEAR(Sales_Data[[#This Row],[Order Date]])</f>
        <v>2023</v>
      </c>
    </row>
    <row r="387" spans="1:12">
      <c r="A387" t="s">
        <v>761</v>
      </c>
      <c r="B387" s="1" t="s">
        <v>57</v>
      </c>
      <c r="C387" t="s">
        <v>762</v>
      </c>
      <c r="D387" t="s">
        <v>35</v>
      </c>
      <c r="E387" t="s">
        <v>13</v>
      </c>
      <c r="F387">
        <v>5</v>
      </c>
      <c r="G387">
        <v>777.2</v>
      </c>
      <c r="H387">
        <v>3886</v>
      </c>
      <c r="I387" t="s">
        <v>23</v>
      </c>
      <c r="J387">
        <f xml:space="preserve"> Sales_Data[[#This Row],[Quantity]] * Sales_Data[[#This Row],[Price]]</f>
        <v>3886</v>
      </c>
      <c r="K387" t="str">
        <f>TEXT(Sales_Data[[#This Row],[Order Date]],"MMM")</f>
        <v>Apr</v>
      </c>
      <c r="L387">
        <f>YEAR(Sales_Data[[#This Row],[Order Date]])</f>
        <v>2023</v>
      </c>
    </row>
    <row r="388" spans="1:12">
      <c r="A388" t="s">
        <v>763</v>
      </c>
      <c r="B388" s="1" t="s">
        <v>764</v>
      </c>
      <c r="C388" t="s">
        <v>55</v>
      </c>
      <c r="D388" t="s">
        <v>51</v>
      </c>
      <c r="E388" t="s">
        <v>52</v>
      </c>
      <c r="F388">
        <v>4</v>
      </c>
      <c r="G388">
        <v>1221.47</v>
      </c>
      <c r="H388">
        <v>4885.88</v>
      </c>
      <c r="I388" t="s">
        <v>23</v>
      </c>
      <c r="J388">
        <f xml:space="preserve"> Sales_Data[[#This Row],[Quantity]] * Sales_Data[[#This Row],[Price]]</f>
        <v>4885.88</v>
      </c>
      <c r="K388" t="str">
        <f>TEXT(Sales_Data[[#This Row],[Order Date]],"MMM")</f>
        <v>Nov</v>
      </c>
      <c r="L388">
        <f>YEAR(Sales_Data[[#This Row],[Order Date]])</f>
        <v>2023</v>
      </c>
    </row>
    <row r="389" spans="1:12">
      <c r="A389" t="s">
        <v>765</v>
      </c>
      <c r="B389" s="1" t="s">
        <v>766</v>
      </c>
      <c r="C389" t="s">
        <v>498</v>
      </c>
      <c r="D389" t="s">
        <v>110</v>
      </c>
      <c r="E389" t="s">
        <v>52</v>
      </c>
      <c r="F389">
        <v>5</v>
      </c>
      <c r="G389">
        <v>1239.8499999999999</v>
      </c>
      <c r="H389">
        <v>6199.25</v>
      </c>
      <c r="I389" t="s">
        <v>47</v>
      </c>
      <c r="J389">
        <f xml:space="preserve"> Sales_Data[[#This Row],[Quantity]] * Sales_Data[[#This Row],[Price]]</f>
        <v>6199.25</v>
      </c>
      <c r="K389" t="str">
        <f>TEXT(Sales_Data[[#This Row],[Order Date]],"MMM")</f>
        <v>Aug</v>
      </c>
      <c r="L389">
        <f>YEAR(Sales_Data[[#This Row],[Order Date]])</f>
        <v>2023</v>
      </c>
    </row>
    <row r="390" spans="1:12">
      <c r="A390" t="s">
        <v>767</v>
      </c>
      <c r="B390" s="1" t="s">
        <v>768</v>
      </c>
      <c r="C390" t="s">
        <v>414</v>
      </c>
      <c r="D390" t="s">
        <v>12</v>
      </c>
      <c r="E390" t="s">
        <v>13</v>
      </c>
      <c r="F390">
        <v>4</v>
      </c>
      <c r="G390">
        <v>642.65</v>
      </c>
      <c r="H390">
        <v>2570.6</v>
      </c>
      <c r="I390" t="s">
        <v>31</v>
      </c>
      <c r="J390">
        <f xml:space="preserve"> Sales_Data[[#This Row],[Quantity]] * Sales_Data[[#This Row],[Price]]</f>
        <v>2570.6</v>
      </c>
      <c r="K390" t="str">
        <f>TEXT(Sales_Data[[#This Row],[Order Date]],"MMM")</f>
        <v>Jul</v>
      </c>
      <c r="L390">
        <f>YEAR(Sales_Data[[#This Row],[Order Date]])</f>
        <v>2023</v>
      </c>
    </row>
    <row r="391" spans="1:12">
      <c r="A391" t="s">
        <v>769</v>
      </c>
      <c r="B391" s="1" t="s">
        <v>729</v>
      </c>
      <c r="C391" t="s">
        <v>337</v>
      </c>
      <c r="D391" t="s">
        <v>110</v>
      </c>
      <c r="E391" t="s">
        <v>52</v>
      </c>
      <c r="F391">
        <v>3</v>
      </c>
      <c r="G391">
        <v>1783.58</v>
      </c>
      <c r="H391">
        <v>5350.74</v>
      </c>
      <c r="I391" t="s">
        <v>47</v>
      </c>
      <c r="J391">
        <f xml:space="preserve"> Sales_Data[[#This Row],[Quantity]] * Sales_Data[[#This Row],[Price]]</f>
        <v>5350.74</v>
      </c>
      <c r="K391" t="str">
        <f>TEXT(Sales_Data[[#This Row],[Order Date]],"MMM")</f>
        <v>Oct</v>
      </c>
      <c r="L391">
        <f>YEAR(Sales_Data[[#This Row],[Order Date]])</f>
        <v>2023</v>
      </c>
    </row>
    <row r="392" spans="1:12">
      <c r="A392" t="s">
        <v>770</v>
      </c>
      <c r="B392" s="1" t="s">
        <v>771</v>
      </c>
      <c r="C392" t="s">
        <v>140</v>
      </c>
      <c r="D392" t="s">
        <v>59</v>
      </c>
      <c r="E392" t="s">
        <v>40</v>
      </c>
      <c r="F392">
        <v>5</v>
      </c>
      <c r="G392">
        <v>928.39</v>
      </c>
      <c r="H392">
        <v>4641.95</v>
      </c>
      <c r="I392" t="s">
        <v>14</v>
      </c>
      <c r="J392">
        <f xml:space="preserve"> Sales_Data[[#This Row],[Quantity]] * Sales_Data[[#This Row],[Price]]</f>
        <v>4641.95</v>
      </c>
      <c r="K392" t="str">
        <f>TEXT(Sales_Data[[#This Row],[Order Date]],"MMM")</f>
        <v>Jun</v>
      </c>
      <c r="L392">
        <f>YEAR(Sales_Data[[#This Row],[Order Date]])</f>
        <v>2023</v>
      </c>
    </row>
    <row r="393" spans="1:12">
      <c r="A393" t="s">
        <v>772</v>
      </c>
      <c r="B393" s="1" t="s">
        <v>16</v>
      </c>
      <c r="C393" t="s">
        <v>226</v>
      </c>
      <c r="D393" t="s">
        <v>39</v>
      </c>
      <c r="E393" t="s">
        <v>40</v>
      </c>
      <c r="F393">
        <v>4</v>
      </c>
      <c r="G393">
        <v>377.09</v>
      </c>
      <c r="H393">
        <v>1508.36</v>
      </c>
      <c r="I393" t="s">
        <v>23</v>
      </c>
      <c r="J393">
        <f xml:space="preserve"> Sales_Data[[#This Row],[Quantity]] * Sales_Data[[#This Row],[Price]]</f>
        <v>1508.36</v>
      </c>
      <c r="K393" t="str">
        <f>TEXT(Sales_Data[[#This Row],[Order Date]],"MMM")</f>
        <v>Jan</v>
      </c>
      <c r="L393">
        <f>YEAR(Sales_Data[[#This Row],[Order Date]])</f>
        <v>2023</v>
      </c>
    </row>
    <row r="394" spans="1:12">
      <c r="A394" t="s">
        <v>773</v>
      </c>
      <c r="B394" s="1" t="s">
        <v>152</v>
      </c>
      <c r="C394" t="s">
        <v>11</v>
      </c>
      <c r="D394" t="s">
        <v>18</v>
      </c>
      <c r="E394" t="s">
        <v>19</v>
      </c>
      <c r="F394">
        <v>3</v>
      </c>
      <c r="G394">
        <v>1617.5</v>
      </c>
      <c r="H394">
        <v>4852.5</v>
      </c>
      <c r="I394" t="s">
        <v>23</v>
      </c>
      <c r="J394">
        <f xml:space="preserve"> Sales_Data[[#This Row],[Quantity]] * Sales_Data[[#This Row],[Price]]</f>
        <v>4852.5</v>
      </c>
      <c r="K394" t="str">
        <f>TEXT(Sales_Data[[#This Row],[Order Date]],"MMM")</f>
        <v>Oct</v>
      </c>
      <c r="L394">
        <f>YEAR(Sales_Data[[#This Row],[Order Date]])</f>
        <v>2023</v>
      </c>
    </row>
    <row r="395" spans="1:12">
      <c r="A395" t="s">
        <v>774</v>
      </c>
      <c r="B395" s="1" t="s">
        <v>775</v>
      </c>
      <c r="C395" t="s">
        <v>62</v>
      </c>
      <c r="D395" t="s">
        <v>59</v>
      </c>
      <c r="E395" t="s">
        <v>40</v>
      </c>
      <c r="F395">
        <v>4</v>
      </c>
      <c r="G395">
        <v>416.54</v>
      </c>
      <c r="H395">
        <v>1666.16</v>
      </c>
      <c r="I395" t="s">
        <v>23</v>
      </c>
      <c r="J395">
        <f xml:space="preserve"> Sales_Data[[#This Row],[Quantity]] * Sales_Data[[#This Row],[Price]]</f>
        <v>1666.16</v>
      </c>
      <c r="K395" t="str">
        <f>TEXT(Sales_Data[[#This Row],[Order Date]],"MMM")</f>
        <v>Jan</v>
      </c>
      <c r="L395">
        <f>YEAR(Sales_Data[[#This Row],[Order Date]])</f>
        <v>2023</v>
      </c>
    </row>
    <row r="396" spans="1:12">
      <c r="A396" t="s">
        <v>776</v>
      </c>
      <c r="B396" s="1" t="s">
        <v>677</v>
      </c>
      <c r="C396" t="s">
        <v>43</v>
      </c>
      <c r="D396" t="s">
        <v>30</v>
      </c>
      <c r="E396" t="s">
        <v>19</v>
      </c>
      <c r="F396">
        <v>1</v>
      </c>
      <c r="G396">
        <v>1905.11</v>
      </c>
      <c r="H396">
        <v>1905.11</v>
      </c>
      <c r="I396" t="s">
        <v>14</v>
      </c>
      <c r="J396">
        <f xml:space="preserve"> Sales_Data[[#This Row],[Quantity]] * Sales_Data[[#This Row],[Price]]</f>
        <v>1905.11</v>
      </c>
      <c r="K396" t="str">
        <f>TEXT(Sales_Data[[#This Row],[Order Date]],"MMM")</f>
        <v>May</v>
      </c>
      <c r="L396">
        <f>YEAR(Sales_Data[[#This Row],[Order Date]])</f>
        <v>2023</v>
      </c>
    </row>
    <row r="397" spans="1:12">
      <c r="A397" t="s">
        <v>777</v>
      </c>
      <c r="B397" s="1" t="s">
        <v>145</v>
      </c>
      <c r="C397" t="s">
        <v>26</v>
      </c>
      <c r="D397" t="s">
        <v>35</v>
      </c>
      <c r="E397" t="s">
        <v>13</v>
      </c>
      <c r="F397">
        <v>2</v>
      </c>
      <c r="G397">
        <v>942.12</v>
      </c>
      <c r="H397">
        <v>1884.24</v>
      </c>
      <c r="I397" t="s">
        <v>14</v>
      </c>
      <c r="J397">
        <f xml:space="preserve"> Sales_Data[[#This Row],[Quantity]] * Sales_Data[[#This Row],[Price]]</f>
        <v>1884.24</v>
      </c>
      <c r="K397" t="str">
        <f>TEXT(Sales_Data[[#This Row],[Order Date]],"MMM")</f>
        <v>Nov</v>
      </c>
      <c r="L397">
        <f>YEAR(Sales_Data[[#This Row],[Order Date]])</f>
        <v>2023</v>
      </c>
    </row>
    <row r="398" spans="1:12">
      <c r="A398" t="s">
        <v>778</v>
      </c>
      <c r="B398" s="1" t="s">
        <v>312</v>
      </c>
      <c r="C398" t="s">
        <v>283</v>
      </c>
      <c r="D398" t="s">
        <v>30</v>
      </c>
      <c r="E398" t="s">
        <v>19</v>
      </c>
      <c r="F398">
        <v>5</v>
      </c>
      <c r="G398">
        <v>1484.3</v>
      </c>
      <c r="H398">
        <v>7421.5</v>
      </c>
      <c r="I398" t="s">
        <v>47</v>
      </c>
      <c r="J398">
        <f xml:space="preserve"> Sales_Data[[#This Row],[Quantity]] * Sales_Data[[#This Row],[Price]]</f>
        <v>7421.5</v>
      </c>
      <c r="K398" t="str">
        <f>TEXT(Sales_Data[[#This Row],[Order Date]],"MMM")</f>
        <v>Jul</v>
      </c>
      <c r="L398">
        <f>YEAR(Sales_Data[[#This Row],[Order Date]])</f>
        <v>2023</v>
      </c>
    </row>
    <row r="399" spans="1:12">
      <c r="A399" t="s">
        <v>779</v>
      </c>
      <c r="B399" s="1" t="s">
        <v>440</v>
      </c>
      <c r="C399" t="s">
        <v>96</v>
      </c>
      <c r="D399" t="s">
        <v>30</v>
      </c>
      <c r="E399" t="s">
        <v>19</v>
      </c>
      <c r="F399">
        <v>3</v>
      </c>
      <c r="G399">
        <v>628.34</v>
      </c>
      <c r="H399">
        <v>1885.02</v>
      </c>
      <c r="I399" t="s">
        <v>14</v>
      </c>
      <c r="J399">
        <f xml:space="preserve"> Sales_Data[[#This Row],[Quantity]] * Sales_Data[[#This Row],[Price]]</f>
        <v>1885.02</v>
      </c>
      <c r="K399" t="str">
        <f>TEXT(Sales_Data[[#This Row],[Order Date]],"MMM")</f>
        <v>Aug</v>
      </c>
      <c r="L399">
        <f>YEAR(Sales_Data[[#This Row],[Order Date]])</f>
        <v>2023</v>
      </c>
    </row>
    <row r="400" spans="1:12">
      <c r="A400" t="s">
        <v>780</v>
      </c>
      <c r="B400" s="1" t="s">
        <v>21</v>
      </c>
      <c r="C400" t="s">
        <v>121</v>
      </c>
      <c r="D400" t="s">
        <v>35</v>
      </c>
      <c r="E400" t="s">
        <v>13</v>
      </c>
      <c r="F400">
        <v>1</v>
      </c>
      <c r="G400">
        <v>1828.47</v>
      </c>
      <c r="H400">
        <v>1828.47</v>
      </c>
      <c r="I400" t="s">
        <v>47</v>
      </c>
      <c r="J400">
        <f xml:space="preserve"> Sales_Data[[#This Row],[Quantity]] * Sales_Data[[#This Row],[Price]]</f>
        <v>1828.47</v>
      </c>
      <c r="K400" t="str">
        <f>TEXT(Sales_Data[[#This Row],[Order Date]],"MMM")</f>
        <v>Aug</v>
      </c>
      <c r="L400">
        <f>YEAR(Sales_Data[[#This Row],[Order Date]])</f>
        <v>2023</v>
      </c>
    </row>
    <row r="401" spans="1:12">
      <c r="A401" t="s">
        <v>781</v>
      </c>
      <c r="B401" s="1" t="s">
        <v>782</v>
      </c>
      <c r="C401" t="s">
        <v>127</v>
      </c>
      <c r="D401" t="s">
        <v>12</v>
      </c>
      <c r="E401" t="s">
        <v>13</v>
      </c>
      <c r="F401">
        <v>1</v>
      </c>
      <c r="G401">
        <v>554.70000000000005</v>
      </c>
      <c r="H401">
        <v>554.70000000000005</v>
      </c>
      <c r="I401" t="s">
        <v>47</v>
      </c>
      <c r="J401">
        <f xml:space="preserve"> Sales_Data[[#This Row],[Quantity]] * Sales_Data[[#This Row],[Price]]</f>
        <v>554.70000000000005</v>
      </c>
      <c r="K401" t="str">
        <f>TEXT(Sales_Data[[#This Row],[Order Date]],"MMM")</f>
        <v>Feb</v>
      </c>
      <c r="L401">
        <f>YEAR(Sales_Data[[#This Row],[Order Date]])</f>
        <v>2023</v>
      </c>
    </row>
    <row r="402" spans="1:12">
      <c r="A402" t="s">
        <v>783</v>
      </c>
      <c r="B402" s="1" t="s">
        <v>305</v>
      </c>
      <c r="C402" t="s">
        <v>82</v>
      </c>
      <c r="D402" t="s">
        <v>59</v>
      </c>
      <c r="E402" t="s">
        <v>40</v>
      </c>
      <c r="F402">
        <v>3</v>
      </c>
      <c r="G402">
        <v>1442.74</v>
      </c>
      <c r="H402">
        <v>4328.22</v>
      </c>
      <c r="I402" t="s">
        <v>23</v>
      </c>
      <c r="J402">
        <f xml:space="preserve"> Sales_Data[[#This Row],[Quantity]] * Sales_Data[[#This Row],[Price]]</f>
        <v>4328.22</v>
      </c>
      <c r="K402" t="str">
        <f>TEXT(Sales_Data[[#This Row],[Order Date]],"MMM")</f>
        <v>Jul</v>
      </c>
      <c r="L402">
        <f>YEAR(Sales_Data[[#This Row],[Order Date]])</f>
        <v>2023</v>
      </c>
    </row>
    <row r="403" spans="1:12">
      <c r="A403" t="s">
        <v>784</v>
      </c>
      <c r="B403" s="1" t="s">
        <v>785</v>
      </c>
      <c r="C403" t="s">
        <v>449</v>
      </c>
      <c r="D403" t="s">
        <v>51</v>
      </c>
      <c r="E403" t="s">
        <v>52</v>
      </c>
      <c r="F403">
        <v>3</v>
      </c>
      <c r="G403">
        <v>647.75</v>
      </c>
      <c r="H403">
        <v>1943.25</v>
      </c>
      <c r="I403" t="s">
        <v>31</v>
      </c>
      <c r="J403">
        <f xml:space="preserve"> Sales_Data[[#This Row],[Quantity]] * Sales_Data[[#This Row],[Price]]</f>
        <v>1943.25</v>
      </c>
      <c r="K403" t="str">
        <f>TEXT(Sales_Data[[#This Row],[Order Date]],"MMM")</f>
        <v>Oct</v>
      </c>
      <c r="L403">
        <f>YEAR(Sales_Data[[#This Row],[Order Date]])</f>
        <v>2023</v>
      </c>
    </row>
    <row r="404" spans="1:12">
      <c r="A404" t="s">
        <v>786</v>
      </c>
      <c r="B404" s="1" t="s">
        <v>787</v>
      </c>
      <c r="C404" t="s">
        <v>591</v>
      </c>
      <c r="D404" t="s">
        <v>51</v>
      </c>
      <c r="E404" t="s">
        <v>52</v>
      </c>
      <c r="F404">
        <v>3</v>
      </c>
      <c r="G404">
        <v>407.89</v>
      </c>
      <c r="H404">
        <v>1223.67</v>
      </c>
      <c r="I404" t="s">
        <v>47</v>
      </c>
      <c r="J404">
        <f xml:space="preserve"> Sales_Data[[#This Row],[Quantity]] * Sales_Data[[#This Row],[Price]]</f>
        <v>1223.67</v>
      </c>
      <c r="K404" t="str">
        <f>TEXT(Sales_Data[[#This Row],[Order Date]],"MMM")</f>
        <v>Nov</v>
      </c>
      <c r="L404">
        <f>YEAR(Sales_Data[[#This Row],[Order Date]])</f>
        <v>2023</v>
      </c>
    </row>
    <row r="405" spans="1:12">
      <c r="A405" t="s">
        <v>788</v>
      </c>
      <c r="B405" s="1" t="s">
        <v>303</v>
      </c>
      <c r="C405" t="s">
        <v>249</v>
      </c>
      <c r="D405" t="s">
        <v>79</v>
      </c>
      <c r="E405" t="s">
        <v>52</v>
      </c>
      <c r="F405">
        <v>5</v>
      </c>
      <c r="G405">
        <v>938.7</v>
      </c>
      <c r="H405">
        <v>4693.5</v>
      </c>
      <c r="I405" t="s">
        <v>47</v>
      </c>
      <c r="J405">
        <f xml:space="preserve"> Sales_Data[[#This Row],[Quantity]] * Sales_Data[[#This Row],[Price]]</f>
        <v>4693.5</v>
      </c>
      <c r="K405" t="str">
        <f>TEXT(Sales_Data[[#This Row],[Order Date]],"MMM")</f>
        <v>Mar</v>
      </c>
      <c r="L405">
        <f>YEAR(Sales_Data[[#This Row],[Order Date]])</f>
        <v>2023</v>
      </c>
    </row>
    <row r="406" spans="1:12">
      <c r="A406" t="s">
        <v>789</v>
      </c>
      <c r="B406" s="1" t="s">
        <v>25</v>
      </c>
      <c r="C406" t="s">
        <v>90</v>
      </c>
      <c r="D406" t="s">
        <v>30</v>
      </c>
      <c r="E406" t="s">
        <v>19</v>
      </c>
      <c r="F406">
        <v>3</v>
      </c>
      <c r="G406">
        <v>452.36</v>
      </c>
      <c r="H406">
        <v>1357.08</v>
      </c>
      <c r="I406" t="s">
        <v>47</v>
      </c>
      <c r="J406">
        <f xml:space="preserve"> Sales_Data[[#This Row],[Quantity]] * Sales_Data[[#This Row],[Price]]</f>
        <v>1357.08</v>
      </c>
      <c r="K406" t="str">
        <f>TEXT(Sales_Data[[#This Row],[Order Date]],"MMM")</f>
        <v>Jul</v>
      </c>
      <c r="L406">
        <f>YEAR(Sales_Data[[#This Row],[Order Date]])</f>
        <v>2023</v>
      </c>
    </row>
    <row r="407" spans="1:12">
      <c r="A407" t="s">
        <v>790</v>
      </c>
      <c r="B407" s="1" t="s">
        <v>791</v>
      </c>
      <c r="C407" t="s">
        <v>96</v>
      </c>
      <c r="D407" t="s">
        <v>59</v>
      </c>
      <c r="E407" t="s">
        <v>40</v>
      </c>
      <c r="F407">
        <v>5</v>
      </c>
      <c r="G407">
        <v>764.58</v>
      </c>
      <c r="H407">
        <v>3822.9</v>
      </c>
      <c r="I407" t="s">
        <v>47</v>
      </c>
      <c r="J407">
        <f xml:space="preserve"> Sales_Data[[#This Row],[Quantity]] * Sales_Data[[#This Row],[Price]]</f>
        <v>3822.9</v>
      </c>
      <c r="K407" t="str">
        <f>TEXT(Sales_Data[[#This Row],[Order Date]],"MMM")</f>
        <v>Dec</v>
      </c>
      <c r="L407">
        <f>YEAR(Sales_Data[[#This Row],[Order Date]])</f>
        <v>2023</v>
      </c>
    </row>
    <row r="408" spans="1:12">
      <c r="A408" t="s">
        <v>792</v>
      </c>
      <c r="B408" s="1" t="s">
        <v>793</v>
      </c>
      <c r="C408" t="s">
        <v>276</v>
      </c>
      <c r="D408" t="s">
        <v>79</v>
      </c>
      <c r="E408" t="s">
        <v>52</v>
      </c>
      <c r="F408">
        <v>1</v>
      </c>
      <c r="G408">
        <v>1606.18</v>
      </c>
      <c r="H408">
        <v>1606.18</v>
      </c>
      <c r="I408" t="s">
        <v>23</v>
      </c>
      <c r="J408">
        <f xml:space="preserve"> Sales_Data[[#This Row],[Quantity]] * Sales_Data[[#This Row],[Price]]</f>
        <v>1606.18</v>
      </c>
      <c r="K408" t="str">
        <f>TEXT(Sales_Data[[#This Row],[Order Date]],"MMM")</f>
        <v>Jul</v>
      </c>
      <c r="L408">
        <f>YEAR(Sales_Data[[#This Row],[Order Date]])</f>
        <v>2023</v>
      </c>
    </row>
    <row r="409" spans="1:12">
      <c r="A409" t="s">
        <v>794</v>
      </c>
      <c r="B409" s="1" t="s">
        <v>264</v>
      </c>
      <c r="C409" t="s">
        <v>386</v>
      </c>
      <c r="D409" t="s">
        <v>30</v>
      </c>
      <c r="E409" t="s">
        <v>19</v>
      </c>
      <c r="F409">
        <v>4</v>
      </c>
      <c r="G409">
        <v>444.41</v>
      </c>
      <c r="H409">
        <v>1777.64</v>
      </c>
      <c r="I409" t="s">
        <v>31</v>
      </c>
      <c r="J409">
        <f xml:space="preserve"> Sales_Data[[#This Row],[Quantity]] * Sales_Data[[#This Row],[Price]]</f>
        <v>1777.64</v>
      </c>
      <c r="K409" t="str">
        <f>TEXT(Sales_Data[[#This Row],[Order Date]],"MMM")</f>
        <v>Jun</v>
      </c>
      <c r="L409">
        <f>YEAR(Sales_Data[[#This Row],[Order Date]])</f>
        <v>2023</v>
      </c>
    </row>
    <row r="410" spans="1:12">
      <c r="A410" t="s">
        <v>795</v>
      </c>
      <c r="B410" s="1" t="s">
        <v>86</v>
      </c>
      <c r="C410" t="s">
        <v>249</v>
      </c>
      <c r="D410" t="s">
        <v>12</v>
      </c>
      <c r="E410" t="s">
        <v>13</v>
      </c>
      <c r="F410">
        <v>1</v>
      </c>
      <c r="G410">
        <v>1314.29</v>
      </c>
      <c r="H410">
        <v>1314.29</v>
      </c>
      <c r="I410" t="s">
        <v>14</v>
      </c>
      <c r="J410">
        <f xml:space="preserve"> Sales_Data[[#This Row],[Quantity]] * Sales_Data[[#This Row],[Price]]</f>
        <v>1314.29</v>
      </c>
      <c r="K410" t="str">
        <f>TEXT(Sales_Data[[#This Row],[Order Date]],"MMM")</f>
        <v>Nov</v>
      </c>
      <c r="L410">
        <f>YEAR(Sales_Data[[#This Row],[Order Date]])</f>
        <v>2023</v>
      </c>
    </row>
    <row r="411" spans="1:12">
      <c r="A411" t="s">
        <v>796</v>
      </c>
      <c r="B411" s="1" t="s">
        <v>797</v>
      </c>
      <c r="C411" t="s">
        <v>159</v>
      </c>
      <c r="D411" t="s">
        <v>79</v>
      </c>
      <c r="E411" t="s">
        <v>52</v>
      </c>
      <c r="F411">
        <v>1</v>
      </c>
      <c r="G411">
        <v>374.91</v>
      </c>
      <c r="H411">
        <v>374.91</v>
      </c>
      <c r="I411" t="s">
        <v>47</v>
      </c>
      <c r="J411">
        <f xml:space="preserve"> Sales_Data[[#This Row],[Quantity]] * Sales_Data[[#This Row],[Price]]</f>
        <v>374.91</v>
      </c>
      <c r="K411" t="str">
        <f>TEXT(Sales_Data[[#This Row],[Order Date]],"MMM")</f>
        <v>Nov</v>
      </c>
      <c r="L411">
        <f>YEAR(Sales_Data[[#This Row],[Order Date]])</f>
        <v>2023</v>
      </c>
    </row>
    <row r="412" spans="1:12">
      <c r="A412" t="s">
        <v>798</v>
      </c>
      <c r="B412" s="1" t="s">
        <v>799</v>
      </c>
      <c r="C412" t="s">
        <v>688</v>
      </c>
      <c r="D412" t="s">
        <v>30</v>
      </c>
      <c r="E412" t="s">
        <v>19</v>
      </c>
      <c r="F412">
        <v>3</v>
      </c>
      <c r="G412">
        <v>1053.68</v>
      </c>
      <c r="H412">
        <v>3161.04</v>
      </c>
      <c r="I412" t="s">
        <v>23</v>
      </c>
      <c r="J412">
        <f xml:space="preserve"> Sales_Data[[#This Row],[Quantity]] * Sales_Data[[#This Row],[Price]]</f>
        <v>3161.04</v>
      </c>
      <c r="K412" t="str">
        <f>TEXT(Sales_Data[[#This Row],[Order Date]],"MMM")</f>
        <v>Jul</v>
      </c>
      <c r="L412">
        <f>YEAR(Sales_Data[[#This Row],[Order Date]])</f>
        <v>2023</v>
      </c>
    </row>
    <row r="413" spans="1:12">
      <c r="A413" t="s">
        <v>800</v>
      </c>
      <c r="B413" s="1" t="s">
        <v>158</v>
      </c>
      <c r="C413" t="s">
        <v>73</v>
      </c>
      <c r="D413" t="s">
        <v>39</v>
      </c>
      <c r="E413" t="s">
        <v>40</v>
      </c>
      <c r="F413">
        <v>1</v>
      </c>
      <c r="G413">
        <v>83.2</v>
      </c>
      <c r="H413">
        <v>83.2</v>
      </c>
      <c r="I413" t="s">
        <v>23</v>
      </c>
      <c r="J413">
        <f xml:space="preserve"> Sales_Data[[#This Row],[Quantity]] * Sales_Data[[#This Row],[Price]]</f>
        <v>83.2</v>
      </c>
      <c r="K413" t="str">
        <f>TEXT(Sales_Data[[#This Row],[Order Date]],"MMM")</f>
        <v>May</v>
      </c>
      <c r="L413">
        <f>YEAR(Sales_Data[[#This Row],[Order Date]])</f>
        <v>2023</v>
      </c>
    </row>
    <row r="414" spans="1:12">
      <c r="A414" t="s">
        <v>801</v>
      </c>
      <c r="B414" s="1" t="s">
        <v>161</v>
      </c>
      <c r="C414" t="s">
        <v>673</v>
      </c>
      <c r="D414" t="s">
        <v>30</v>
      </c>
      <c r="E414" t="s">
        <v>19</v>
      </c>
      <c r="F414">
        <v>3</v>
      </c>
      <c r="G414">
        <v>1551.22</v>
      </c>
      <c r="H414">
        <v>4653.66</v>
      </c>
      <c r="I414" t="s">
        <v>23</v>
      </c>
      <c r="J414">
        <f xml:space="preserve"> Sales_Data[[#This Row],[Quantity]] * Sales_Data[[#This Row],[Price]]</f>
        <v>4653.66</v>
      </c>
      <c r="K414" t="str">
        <f>TEXT(Sales_Data[[#This Row],[Order Date]],"MMM")</f>
        <v>May</v>
      </c>
      <c r="L414">
        <f>YEAR(Sales_Data[[#This Row],[Order Date]])</f>
        <v>2023</v>
      </c>
    </row>
    <row r="415" spans="1:12">
      <c r="A415" t="s">
        <v>802</v>
      </c>
      <c r="B415" s="1" t="s">
        <v>367</v>
      </c>
      <c r="C415" t="s">
        <v>313</v>
      </c>
      <c r="D415" t="s">
        <v>12</v>
      </c>
      <c r="E415" t="s">
        <v>13</v>
      </c>
      <c r="F415">
        <v>3</v>
      </c>
      <c r="G415">
        <v>1049.75</v>
      </c>
      <c r="H415">
        <v>3149.25</v>
      </c>
      <c r="I415" t="s">
        <v>47</v>
      </c>
      <c r="J415">
        <f xml:space="preserve"> Sales_Data[[#This Row],[Quantity]] * Sales_Data[[#This Row],[Price]]</f>
        <v>3149.25</v>
      </c>
      <c r="K415" t="str">
        <f>TEXT(Sales_Data[[#This Row],[Order Date]],"MMM")</f>
        <v>Jan</v>
      </c>
      <c r="L415">
        <f>YEAR(Sales_Data[[#This Row],[Order Date]])</f>
        <v>2023</v>
      </c>
    </row>
    <row r="416" spans="1:12">
      <c r="A416" t="s">
        <v>803</v>
      </c>
      <c r="B416" s="1" t="s">
        <v>81</v>
      </c>
      <c r="C416" t="s">
        <v>254</v>
      </c>
      <c r="D416" t="s">
        <v>18</v>
      </c>
      <c r="E416" t="s">
        <v>19</v>
      </c>
      <c r="F416">
        <v>4</v>
      </c>
      <c r="G416">
        <v>276.25</v>
      </c>
      <c r="H416">
        <v>1105</v>
      </c>
      <c r="I416" t="s">
        <v>47</v>
      </c>
      <c r="J416">
        <f xml:space="preserve"> Sales_Data[[#This Row],[Quantity]] * Sales_Data[[#This Row],[Price]]</f>
        <v>1105</v>
      </c>
      <c r="K416" t="str">
        <f>TEXT(Sales_Data[[#This Row],[Order Date]],"MMM")</f>
        <v>Jan</v>
      </c>
      <c r="L416">
        <f>YEAR(Sales_Data[[#This Row],[Order Date]])</f>
        <v>2023</v>
      </c>
    </row>
    <row r="417" spans="1:12">
      <c r="A417" t="s">
        <v>804</v>
      </c>
      <c r="B417" s="1" t="s">
        <v>805</v>
      </c>
      <c r="C417" t="s">
        <v>177</v>
      </c>
      <c r="D417" t="s">
        <v>30</v>
      </c>
      <c r="E417" t="s">
        <v>19</v>
      </c>
      <c r="F417">
        <v>5</v>
      </c>
      <c r="G417">
        <v>1809.83</v>
      </c>
      <c r="H417">
        <v>9049.15</v>
      </c>
      <c r="I417" t="s">
        <v>47</v>
      </c>
      <c r="J417">
        <f xml:space="preserve"> Sales_Data[[#This Row],[Quantity]] * Sales_Data[[#This Row],[Price]]</f>
        <v>9049.15</v>
      </c>
      <c r="K417" t="str">
        <f>TEXT(Sales_Data[[#This Row],[Order Date]],"MMM")</f>
        <v>Nov</v>
      </c>
      <c r="L417">
        <f>YEAR(Sales_Data[[#This Row],[Order Date]])</f>
        <v>2023</v>
      </c>
    </row>
    <row r="418" spans="1:12">
      <c r="A418" t="s">
        <v>806</v>
      </c>
      <c r="B418" s="1" t="s">
        <v>807</v>
      </c>
      <c r="C418" t="s">
        <v>246</v>
      </c>
      <c r="D418" t="s">
        <v>35</v>
      </c>
      <c r="E418" t="s">
        <v>13</v>
      </c>
      <c r="F418">
        <v>1</v>
      </c>
      <c r="G418">
        <v>181.35</v>
      </c>
      <c r="H418">
        <v>181.35</v>
      </c>
      <c r="I418" t="s">
        <v>47</v>
      </c>
      <c r="J418">
        <f xml:space="preserve"> Sales_Data[[#This Row],[Quantity]] * Sales_Data[[#This Row],[Price]]</f>
        <v>181.35</v>
      </c>
      <c r="K418" t="str">
        <f>TEXT(Sales_Data[[#This Row],[Order Date]],"MMM")</f>
        <v>May</v>
      </c>
      <c r="L418">
        <f>YEAR(Sales_Data[[#This Row],[Order Date]])</f>
        <v>2023</v>
      </c>
    </row>
    <row r="419" spans="1:12">
      <c r="A419" t="s">
        <v>808</v>
      </c>
      <c r="B419" s="1" t="s">
        <v>670</v>
      </c>
      <c r="C419" t="s">
        <v>260</v>
      </c>
      <c r="D419" t="s">
        <v>51</v>
      </c>
      <c r="E419" t="s">
        <v>52</v>
      </c>
      <c r="F419">
        <v>5</v>
      </c>
      <c r="G419">
        <v>380.88</v>
      </c>
      <c r="H419">
        <v>1904.4</v>
      </c>
      <c r="I419" t="s">
        <v>23</v>
      </c>
      <c r="J419">
        <f xml:space="preserve"> Sales_Data[[#This Row],[Quantity]] * Sales_Data[[#This Row],[Price]]</f>
        <v>1904.4</v>
      </c>
      <c r="K419" t="str">
        <f>TEXT(Sales_Data[[#This Row],[Order Date]],"MMM")</f>
        <v>Feb</v>
      </c>
      <c r="L419">
        <f>YEAR(Sales_Data[[#This Row],[Order Date]])</f>
        <v>2023</v>
      </c>
    </row>
    <row r="420" spans="1:12">
      <c r="A420" t="s">
        <v>809</v>
      </c>
      <c r="B420" s="1" t="s">
        <v>300</v>
      </c>
      <c r="C420" t="s">
        <v>810</v>
      </c>
      <c r="D420" t="s">
        <v>79</v>
      </c>
      <c r="E420" t="s">
        <v>52</v>
      </c>
      <c r="F420">
        <v>2</v>
      </c>
      <c r="G420">
        <v>1259.71</v>
      </c>
      <c r="H420">
        <v>2519.42</v>
      </c>
      <c r="I420" t="s">
        <v>23</v>
      </c>
      <c r="J420">
        <f xml:space="preserve"> Sales_Data[[#This Row],[Quantity]] * Sales_Data[[#This Row],[Price]]</f>
        <v>2519.42</v>
      </c>
      <c r="K420" t="str">
        <f>TEXT(Sales_Data[[#This Row],[Order Date]],"MMM")</f>
        <v>Jul</v>
      </c>
      <c r="L420">
        <f>YEAR(Sales_Data[[#This Row],[Order Date]])</f>
        <v>2023</v>
      </c>
    </row>
    <row r="421" spans="1:12">
      <c r="A421" t="s">
        <v>811</v>
      </c>
      <c r="B421" s="1" t="s">
        <v>360</v>
      </c>
      <c r="C421" t="s">
        <v>313</v>
      </c>
      <c r="D421" t="s">
        <v>35</v>
      </c>
      <c r="E421" t="s">
        <v>13</v>
      </c>
      <c r="F421">
        <v>3</v>
      </c>
      <c r="G421">
        <v>564.95000000000005</v>
      </c>
      <c r="H421">
        <v>1694.85</v>
      </c>
      <c r="I421" t="s">
        <v>47</v>
      </c>
      <c r="J421">
        <f xml:space="preserve"> Sales_Data[[#This Row],[Quantity]] * Sales_Data[[#This Row],[Price]]</f>
        <v>1694.8500000000001</v>
      </c>
      <c r="K421" t="str">
        <f>TEXT(Sales_Data[[#This Row],[Order Date]],"MMM")</f>
        <v>Sept</v>
      </c>
      <c r="L421">
        <f>YEAR(Sales_Data[[#This Row],[Order Date]])</f>
        <v>2023</v>
      </c>
    </row>
    <row r="422" spans="1:12">
      <c r="A422" t="s">
        <v>812</v>
      </c>
      <c r="B422" s="1" t="s">
        <v>259</v>
      </c>
      <c r="C422" t="s">
        <v>394</v>
      </c>
      <c r="D422" t="s">
        <v>18</v>
      </c>
      <c r="E422" t="s">
        <v>19</v>
      </c>
      <c r="F422">
        <v>1</v>
      </c>
      <c r="G422">
        <v>318.38</v>
      </c>
      <c r="H422">
        <v>318.38</v>
      </c>
      <c r="I422" t="s">
        <v>31</v>
      </c>
      <c r="J422">
        <f xml:space="preserve"> Sales_Data[[#This Row],[Quantity]] * Sales_Data[[#This Row],[Price]]</f>
        <v>318.38</v>
      </c>
      <c r="K422" t="str">
        <f>TEXT(Sales_Data[[#This Row],[Order Date]],"MMM")</f>
        <v>May</v>
      </c>
      <c r="L422">
        <f>YEAR(Sales_Data[[#This Row],[Order Date]])</f>
        <v>2023</v>
      </c>
    </row>
    <row r="423" spans="1:12">
      <c r="A423" t="s">
        <v>813</v>
      </c>
      <c r="B423" s="1" t="s">
        <v>814</v>
      </c>
      <c r="C423" t="s">
        <v>43</v>
      </c>
      <c r="D423" t="s">
        <v>51</v>
      </c>
      <c r="E423" t="s">
        <v>52</v>
      </c>
      <c r="F423">
        <v>1</v>
      </c>
      <c r="G423">
        <v>225.3</v>
      </c>
      <c r="H423">
        <v>225.3</v>
      </c>
      <c r="I423" t="s">
        <v>47</v>
      </c>
      <c r="J423">
        <f xml:space="preserve"> Sales_Data[[#This Row],[Quantity]] * Sales_Data[[#This Row],[Price]]</f>
        <v>225.3</v>
      </c>
      <c r="K423" t="str">
        <f>TEXT(Sales_Data[[#This Row],[Order Date]],"MMM")</f>
        <v>Sept</v>
      </c>
      <c r="L423">
        <f>YEAR(Sales_Data[[#This Row],[Order Date]])</f>
        <v>2023</v>
      </c>
    </row>
    <row r="424" spans="1:12">
      <c r="A424" t="s">
        <v>815</v>
      </c>
      <c r="B424" s="1" t="s">
        <v>150</v>
      </c>
      <c r="C424" t="s">
        <v>278</v>
      </c>
      <c r="D424" t="s">
        <v>12</v>
      </c>
      <c r="E424" t="s">
        <v>13</v>
      </c>
      <c r="F424">
        <v>2</v>
      </c>
      <c r="G424">
        <v>1974.33</v>
      </c>
      <c r="H424">
        <v>3948.66</v>
      </c>
      <c r="I424" t="s">
        <v>31</v>
      </c>
      <c r="J424">
        <f xml:space="preserve"> Sales_Data[[#This Row],[Quantity]] * Sales_Data[[#This Row],[Price]]</f>
        <v>3948.66</v>
      </c>
      <c r="K424" t="str">
        <f>TEXT(Sales_Data[[#This Row],[Order Date]],"MMM")</f>
        <v>Sept</v>
      </c>
      <c r="L424">
        <f>YEAR(Sales_Data[[#This Row],[Order Date]])</f>
        <v>2023</v>
      </c>
    </row>
    <row r="425" spans="1:12">
      <c r="A425" t="s">
        <v>816</v>
      </c>
      <c r="B425" s="1" t="s">
        <v>817</v>
      </c>
      <c r="C425" t="s">
        <v>172</v>
      </c>
      <c r="D425" t="s">
        <v>18</v>
      </c>
      <c r="E425" t="s">
        <v>19</v>
      </c>
      <c r="F425">
        <v>2</v>
      </c>
      <c r="G425">
        <v>941.79</v>
      </c>
      <c r="H425">
        <v>1883.58</v>
      </c>
      <c r="I425" t="s">
        <v>23</v>
      </c>
      <c r="J425">
        <f xml:space="preserve"> Sales_Data[[#This Row],[Quantity]] * Sales_Data[[#This Row],[Price]]</f>
        <v>1883.58</v>
      </c>
      <c r="K425" t="str">
        <f>TEXT(Sales_Data[[#This Row],[Order Date]],"MMM")</f>
        <v>Jan</v>
      </c>
      <c r="L425">
        <f>YEAR(Sales_Data[[#This Row],[Order Date]])</f>
        <v>2023</v>
      </c>
    </row>
    <row r="426" spans="1:12">
      <c r="A426" t="s">
        <v>818</v>
      </c>
      <c r="B426" s="1" t="s">
        <v>84</v>
      </c>
      <c r="C426" t="s">
        <v>429</v>
      </c>
      <c r="D426" t="s">
        <v>30</v>
      </c>
      <c r="E426" t="s">
        <v>19</v>
      </c>
      <c r="F426">
        <v>2</v>
      </c>
      <c r="G426">
        <v>1862.88</v>
      </c>
      <c r="H426">
        <v>3725.76</v>
      </c>
      <c r="I426" t="s">
        <v>47</v>
      </c>
      <c r="J426">
        <f xml:space="preserve"> Sales_Data[[#This Row],[Quantity]] * Sales_Data[[#This Row],[Price]]</f>
        <v>3725.76</v>
      </c>
      <c r="K426" t="str">
        <f>TEXT(Sales_Data[[#This Row],[Order Date]],"MMM")</f>
        <v>Dec</v>
      </c>
      <c r="L426">
        <f>YEAR(Sales_Data[[#This Row],[Order Date]])</f>
        <v>2023</v>
      </c>
    </row>
    <row r="427" spans="1:12">
      <c r="A427" t="s">
        <v>819</v>
      </c>
      <c r="B427" s="1" t="s">
        <v>682</v>
      </c>
      <c r="C427" t="s">
        <v>394</v>
      </c>
      <c r="D427" t="s">
        <v>51</v>
      </c>
      <c r="E427" t="s">
        <v>52</v>
      </c>
      <c r="F427">
        <v>4</v>
      </c>
      <c r="G427">
        <v>1260.8699999999999</v>
      </c>
      <c r="H427">
        <v>5043.4799999999996</v>
      </c>
      <c r="I427" t="s">
        <v>23</v>
      </c>
      <c r="J427">
        <f xml:space="preserve"> Sales_Data[[#This Row],[Quantity]] * Sales_Data[[#This Row],[Price]]</f>
        <v>5043.4799999999996</v>
      </c>
      <c r="K427" t="str">
        <f>TEXT(Sales_Data[[#This Row],[Order Date]],"MMM")</f>
        <v>Sept</v>
      </c>
      <c r="L427">
        <f>YEAR(Sales_Data[[#This Row],[Order Date]])</f>
        <v>2023</v>
      </c>
    </row>
    <row r="428" spans="1:12">
      <c r="A428" t="s">
        <v>820</v>
      </c>
      <c r="B428" s="1" t="s">
        <v>821</v>
      </c>
      <c r="C428" t="s">
        <v>102</v>
      </c>
      <c r="D428" t="s">
        <v>35</v>
      </c>
      <c r="E428" t="s">
        <v>13</v>
      </c>
      <c r="F428">
        <v>2</v>
      </c>
      <c r="G428">
        <v>1101.8499999999999</v>
      </c>
      <c r="H428">
        <v>2203.6999999999998</v>
      </c>
      <c r="I428" t="s">
        <v>31</v>
      </c>
      <c r="J428">
        <f xml:space="preserve"> Sales_Data[[#This Row],[Quantity]] * Sales_Data[[#This Row],[Price]]</f>
        <v>2203.6999999999998</v>
      </c>
      <c r="K428" t="str">
        <f>TEXT(Sales_Data[[#This Row],[Order Date]],"MMM")</f>
        <v>Jan</v>
      </c>
      <c r="L428">
        <f>YEAR(Sales_Data[[#This Row],[Order Date]])</f>
        <v>2023</v>
      </c>
    </row>
    <row r="429" spans="1:12">
      <c r="A429" t="s">
        <v>822</v>
      </c>
      <c r="B429" s="1" t="s">
        <v>460</v>
      </c>
      <c r="C429" t="s">
        <v>183</v>
      </c>
      <c r="D429" t="s">
        <v>59</v>
      </c>
      <c r="E429" t="s">
        <v>40</v>
      </c>
      <c r="F429">
        <v>5</v>
      </c>
      <c r="G429">
        <v>1037.79</v>
      </c>
      <c r="H429">
        <v>5188.95</v>
      </c>
      <c r="I429" t="s">
        <v>47</v>
      </c>
      <c r="J429">
        <f xml:space="preserve"> Sales_Data[[#This Row],[Quantity]] * Sales_Data[[#This Row],[Price]]</f>
        <v>5188.95</v>
      </c>
      <c r="K429" t="str">
        <f>TEXT(Sales_Data[[#This Row],[Order Date]],"MMM")</f>
        <v>Jan</v>
      </c>
      <c r="L429">
        <f>YEAR(Sales_Data[[#This Row],[Order Date]])</f>
        <v>2023</v>
      </c>
    </row>
    <row r="430" spans="1:12">
      <c r="A430" t="s">
        <v>823</v>
      </c>
      <c r="B430" s="1" t="s">
        <v>150</v>
      </c>
      <c r="C430" t="s">
        <v>68</v>
      </c>
      <c r="D430" t="s">
        <v>35</v>
      </c>
      <c r="E430" t="s">
        <v>13</v>
      </c>
      <c r="F430">
        <v>2</v>
      </c>
      <c r="G430">
        <v>1938.15</v>
      </c>
      <c r="H430">
        <v>3876.3</v>
      </c>
      <c r="I430" t="s">
        <v>31</v>
      </c>
      <c r="J430">
        <f xml:space="preserve"> Sales_Data[[#This Row],[Quantity]] * Sales_Data[[#This Row],[Price]]</f>
        <v>3876.3</v>
      </c>
      <c r="K430" t="str">
        <f>TEXT(Sales_Data[[#This Row],[Order Date]],"MMM")</f>
        <v>Sept</v>
      </c>
      <c r="L430">
        <f>YEAR(Sales_Data[[#This Row],[Order Date]])</f>
        <v>2023</v>
      </c>
    </row>
    <row r="431" spans="1:12">
      <c r="A431" t="s">
        <v>824</v>
      </c>
      <c r="B431" s="1" t="s">
        <v>191</v>
      </c>
      <c r="C431" t="s">
        <v>555</v>
      </c>
      <c r="D431" t="s">
        <v>79</v>
      </c>
      <c r="E431" t="s">
        <v>52</v>
      </c>
      <c r="F431">
        <v>3</v>
      </c>
      <c r="G431">
        <v>977.55</v>
      </c>
      <c r="H431">
        <v>2932.65</v>
      </c>
      <c r="I431" t="s">
        <v>47</v>
      </c>
      <c r="J431">
        <f xml:space="preserve"> Sales_Data[[#This Row],[Quantity]] * Sales_Data[[#This Row],[Price]]</f>
        <v>2932.6499999999996</v>
      </c>
      <c r="K431" t="str">
        <f>TEXT(Sales_Data[[#This Row],[Order Date]],"MMM")</f>
        <v>May</v>
      </c>
      <c r="L431">
        <f>YEAR(Sales_Data[[#This Row],[Order Date]])</f>
        <v>2023</v>
      </c>
    </row>
    <row r="432" spans="1:12">
      <c r="A432" t="s">
        <v>825</v>
      </c>
      <c r="B432" s="1" t="s">
        <v>826</v>
      </c>
      <c r="C432" t="s">
        <v>90</v>
      </c>
      <c r="D432" t="s">
        <v>12</v>
      </c>
      <c r="E432" t="s">
        <v>13</v>
      </c>
      <c r="F432">
        <v>4</v>
      </c>
      <c r="G432">
        <v>1049.04</v>
      </c>
      <c r="H432">
        <v>4196.16</v>
      </c>
      <c r="I432" t="s">
        <v>47</v>
      </c>
      <c r="J432">
        <f xml:space="preserve"> Sales_Data[[#This Row],[Quantity]] * Sales_Data[[#This Row],[Price]]</f>
        <v>4196.16</v>
      </c>
      <c r="K432" t="str">
        <f>TEXT(Sales_Data[[#This Row],[Order Date]],"MMM")</f>
        <v>Jun</v>
      </c>
      <c r="L432">
        <f>YEAR(Sales_Data[[#This Row],[Order Date]])</f>
        <v>2023</v>
      </c>
    </row>
    <row r="433" spans="1:12">
      <c r="A433" t="s">
        <v>827</v>
      </c>
      <c r="B433" s="1" t="s">
        <v>828</v>
      </c>
      <c r="C433" t="s">
        <v>26</v>
      </c>
      <c r="D433" t="s">
        <v>30</v>
      </c>
      <c r="E433" t="s">
        <v>19</v>
      </c>
      <c r="F433">
        <v>2</v>
      </c>
      <c r="G433">
        <v>674.44</v>
      </c>
      <c r="H433">
        <v>1348.88</v>
      </c>
      <c r="I433" t="s">
        <v>23</v>
      </c>
      <c r="J433">
        <f xml:space="preserve"> Sales_Data[[#This Row],[Quantity]] * Sales_Data[[#This Row],[Price]]</f>
        <v>1348.88</v>
      </c>
      <c r="K433" t="str">
        <f>TEXT(Sales_Data[[#This Row],[Order Date]],"MMM")</f>
        <v>Jul</v>
      </c>
      <c r="L433">
        <f>YEAR(Sales_Data[[#This Row],[Order Date]])</f>
        <v>2023</v>
      </c>
    </row>
    <row r="434" spans="1:12">
      <c r="A434" t="s">
        <v>829</v>
      </c>
      <c r="B434" s="1" t="s">
        <v>830</v>
      </c>
      <c r="C434" t="s">
        <v>308</v>
      </c>
      <c r="D434" t="s">
        <v>51</v>
      </c>
      <c r="E434" t="s">
        <v>52</v>
      </c>
      <c r="F434">
        <v>1</v>
      </c>
      <c r="G434">
        <v>767.21</v>
      </c>
      <c r="H434">
        <v>767.21</v>
      </c>
      <c r="I434" t="s">
        <v>23</v>
      </c>
      <c r="J434">
        <f xml:space="preserve"> Sales_Data[[#This Row],[Quantity]] * Sales_Data[[#This Row],[Price]]</f>
        <v>767.21</v>
      </c>
      <c r="K434" t="str">
        <f>TEXT(Sales_Data[[#This Row],[Order Date]],"MMM")</f>
        <v>Jul</v>
      </c>
      <c r="L434">
        <f>YEAR(Sales_Data[[#This Row],[Order Date]])</f>
        <v>2023</v>
      </c>
    </row>
    <row r="435" spans="1:12">
      <c r="A435" t="s">
        <v>831</v>
      </c>
      <c r="B435" s="1" t="s">
        <v>832</v>
      </c>
      <c r="C435" t="s">
        <v>467</v>
      </c>
      <c r="D435" t="s">
        <v>39</v>
      </c>
      <c r="E435" t="s">
        <v>40</v>
      </c>
      <c r="F435">
        <v>4</v>
      </c>
      <c r="G435">
        <v>590</v>
      </c>
      <c r="H435">
        <v>2360</v>
      </c>
      <c r="I435" t="s">
        <v>47</v>
      </c>
      <c r="J435">
        <f xml:space="preserve"> Sales_Data[[#This Row],[Quantity]] * Sales_Data[[#This Row],[Price]]</f>
        <v>2360</v>
      </c>
      <c r="K435" t="str">
        <f>TEXT(Sales_Data[[#This Row],[Order Date]],"MMM")</f>
        <v>Apr</v>
      </c>
      <c r="L435">
        <f>YEAR(Sales_Data[[#This Row],[Order Date]])</f>
        <v>2023</v>
      </c>
    </row>
    <row r="436" spans="1:12">
      <c r="A436" t="s">
        <v>833</v>
      </c>
      <c r="B436" s="1" t="s">
        <v>821</v>
      </c>
      <c r="C436" t="s">
        <v>177</v>
      </c>
      <c r="D436" t="s">
        <v>79</v>
      </c>
      <c r="E436" t="s">
        <v>52</v>
      </c>
      <c r="F436">
        <v>3</v>
      </c>
      <c r="G436">
        <v>1796.7</v>
      </c>
      <c r="H436">
        <v>5390.1</v>
      </c>
      <c r="I436" t="s">
        <v>23</v>
      </c>
      <c r="J436">
        <f xml:space="preserve"> Sales_Data[[#This Row],[Quantity]] * Sales_Data[[#This Row],[Price]]</f>
        <v>5390.1</v>
      </c>
      <c r="K436" t="str">
        <f>TEXT(Sales_Data[[#This Row],[Order Date]],"MMM")</f>
        <v>Jan</v>
      </c>
      <c r="L436">
        <f>YEAR(Sales_Data[[#This Row],[Order Date]])</f>
        <v>2023</v>
      </c>
    </row>
    <row r="437" spans="1:12">
      <c r="A437" t="s">
        <v>834</v>
      </c>
      <c r="B437" s="1" t="s">
        <v>835</v>
      </c>
      <c r="C437" t="s">
        <v>548</v>
      </c>
      <c r="D437" t="s">
        <v>30</v>
      </c>
      <c r="E437" t="s">
        <v>19</v>
      </c>
      <c r="F437">
        <v>5</v>
      </c>
      <c r="G437">
        <v>960.12</v>
      </c>
      <c r="H437">
        <v>4800.6000000000004</v>
      </c>
      <c r="I437" t="s">
        <v>14</v>
      </c>
      <c r="J437">
        <f xml:space="preserve"> Sales_Data[[#This Row],[Quantity]] * Sales_Data[[#This Row],[Price]]</f>
        <v>4800.6000000000004</v>
      </c>
      <c r="K437" t="str">
        <f>TEXT(Sales_Data[[#This Row],[Order Date]],"MMM")</f>
        <v>May</v>
      </c>
      <c r="L437">
        <f>YEAR(Sales_Data[[#This Row],[Order Date]])</f>
        <v>2023</v>
      </c>
    </row>
    <row r="438" spans="1:12">
      <c r="A438" t="s">
        <v>836</v>
      </c>
      <c r="B438" s="1" t="s">
        <v>837</v>
      </c>
      <c r="C438" t="s">
        <v>353</v>
      </c>
      <c r="D438" t="s">
        <v>110</v>
      </c>
      <c r="E438" t="s">
        <v>52</v>
      </c>
      <c r="F438">
        <v>2</v>
      </c>
      <c r="G438">
        <v>655.41</v>
      </c>
      <c r="H438">
        <v>1310.82</v>
      </c>
      <c r="I438" t="s">
        <v>31</v>
      </c>
      <c r="J438">
        <f xml:space="preserve"> Sales_Data[[#This Row],[Quantity]] * Sales_Data[[#This Row],[Price]]</f>
        <v>1310.82</v>
      </c>
      <c r="K438" t="str">
        <f>TEXT(Sales_Data[[#This Row],[Order Date]],"MMM")</f>
        <v>May</v>
      </c>
      <c r="L438">
        <f>YEAR(Sales_Data[[#This Row],[Order Date]])</f>
        <v>2023</v>
      </c>
    </row>
    <row r="439" spans="1:12">
      <c r="A439" t="s">
        <v>838</v>
      </c>
      <c r="B439" s="1" t="s">
        <v>95</v>
      </c>
      <c r="C439" t="s">
        <v>752</v>
      </c>
      <c r="D439" t="s">
        <v>110</v>
      </c>
      <c r="E439" t="s">
        <v>52</v>
      </c>
      <c r="F439">
        <v>2</v>
      </c>
      <c r="G439">
        <v>952.58</v>
      </c>
      <c r="H439">
        <v>1905.16</v>
      </c>
      <c r="I439" t="s">
        <v>31</v>
      </c>
      <c r="J439">
        <f xml:space="preserve"> Sales_Data[[#This Row],[Quantity]] * Sales_Data[[#This Row],[Price]]</f>
        <v>1905.16</v>
      </c>
      <c r="K439" t="str">
        <f>TEXT(Sales_Data[[#This Row],[Order Date]],"MMM")</f>
        <v>Aug</v>
      </c>
      <c r="L439">
        <f>YEAR(Sales_Data[[#This Row],[Order Date]])</f>
        <v>2023</v>
      </c>
    </row>
    <row r="440" spans="1:12">
      <c r="A440" t="s">
        <v>839</v>
      </c>
      <c r="B440" s="1" t="s">
        <v>132</v>
      </c>
      <c r="C440" t="s">
        <v>113</v>
      </c>
      <c r="D440" t="s">
        <v>51</v>
      </c>
      <c r="E440" t="s">
        <v>52</v>
      </c>
      <c r="F440">
        <v>2</v>
      </c>
      <c r="G440">
        <v>1136.56</v>
      </c>
      <c r="H440">
        <v>2273.12</v>
      </c>
      <c r="I440" t="s">
        <v>14</v>
      </c>
      <c r="J440">
        <f xml:space="preserve"> Sales_Data[[#This Row],[Quantity]] * Sales_Data[[#This Row],[Price]]</f>
        <v>2273.12</v>
      </c>
      <c r="K440" t="str">
        <f>TEXT(Sales_Data[[#This Row],[Order Date]],"MMM")</f>
        <v>Jan</v>
      </c>
      <c r="L440">
        <f>YEAR(Sales_Data[[#This Row],[Order Date]])</f>
        <v>2023</v>
      </c>
    </row>
    <row r="441" spans="1:12">
      <c r="A441" t="s">
        <v>840</v>
      </c>
      <c r="B441" s="1" t="s">
        <v>191</v>
      </c>
      <c r="C441" t="s">
        <v>688</v>
      </c>
      <c r="D441" t="s">
        <v>79</v>
      </c>
      <c r="E441" t="s">
        <v>52</v>
      </c>
      <c r="F441">
        <v>3</v>
      </c>
      <c r="G441">
        <v>1454.53</v>
      </c>
      <c r="H441">
        <v>4363.59</v>
      </c>
      <c r="I441" t="s">
        <v>31</v>
      </c>
      <c r="J441">
        <f xml:space="preserve"> Sales_Data[[#This Row],[Quantity]] * Sales_Data[[#This Row],[Price]]</f>
        <v>4363.59</v>
      </c>
      <c r="K441" t="str">
        <f>TEXT(Sales_Data[[#This Row],[Order Date]],"MMM")</f>
        <v>May</v>
      </c>
      <c r="L441">
        <f>YEAR(Sales_Data[[#This Row],[Order Date]])</f>
        <v>2023</v>
      </c>
    </row>
    <row r="442" spans="1:12">
      <c r="A442" t="s">
        <v>841</v>
      </c>
      <c r="B442" s="1" t="s">
        <v>98</v>
      </c>
      <c r="C442" t="s">
        <v>411</v>
      </c>
      <c r="D442" t="s">
        <v>79</v>
      </c>
      <c r="E442" t="s">
        <v>52</v>
      </c>
      <c r="F442">
        <v>3</v>
      </c>
      <c r="G442">
        <v>1620.62</v>
      </c>
      <c r="H442">
        <v>4861.8599999999997</v>
      </c>
      <c r="I442" t="s">
        <v>14</v>
      </c>
      <c r="J442">
        <f xml:space="preserve"> Sales_Data[[#This Row],[Quantity]] * Sales_Data[[#This Row],[Price]]</f>
        <v>4861.8599999999997</v>
      </c>
      <c r="K442" t="str">
        <f>TEXT(Sales_Data[[#This Row],[Order Date]],"MMM")</f>
        <v>Sept</v>
      </c>
      <c r="L442">
        <f>YEAR(Sales_Data[[#This Row],[Order Date]])</f>
        <v>2023</v>
      </c>
    </row>
    <row r="443" spans="1:12">
      <c r="A443" t="s">
        <v>842</v>
      </c>
      <c r="B443" s="1" t="s">
        <v>553</v>
      </c>
      <c r="C443" t="s">
        <v>135</v>
      </c>
      <c r="D443" t="s">
        <v>79</v>
      </c>
      <c r="E443" t="s">
        <v>52</v>
      </c>
      <c r="F443">
        <v>1</v>
      </c>
      <c r="G443">
        <v>1681.51</v>
      </c>
      <c r="H443">
        <v>1681.51</v>
      </c>
      <c r="I443" t="s">
        <v>47</v>
      </c>
      <c r="J443">
        <f xml:space="preserve"> Sales_Data[[#This Row],[Quantity]] * Sales_Data[[#This Row],[Price]]</f>
        <v>1681.51</v>
      </c>
      <c r="K443" t="str">
        <f>TEXT(Sales_Data[[#This Row],[Order Date]],"MMM")</f>
        <v>Oct</v>
      </c>
      <c r="L443">
        <f>YEAR(Sales_Data[[#This Row],[Order Date]])</f>
        <v>2023</v>
      </c>
    </row>
    <row r="444" spans="1:12">
      <c r="A444" t="s">
        <v>843</v>
      </c>
      <c r="B444" s="1" t="s">
        <v>597</v>
      </c>
      <c r="C444" t="s">
        <v>371</v>
      </c>
      <c r="D444" t="s">
        <v>79</v>
      </c>
      <c r="E444" t="s">
        <v>52</v>
      </c>
      <c r="F444">
        <v>4</v>
      </c>
      <c r="G444">
        <v>781.88</v>
      </c>
      <c r="H444">
        <v>3127.52</v>
      </c>
      <c r="I444" t="s">
        <v>47</v>
      </c>
      <c r="J444">
        <f xml:space="preserve"> Sales_Data[[#This Row],[Quantity]] * Sales_Data[[#This Row],[Price]]</f>
        <v>3127.52</v>
      </c>
      <c r="K444" t="str">
        <f>TEXT(Sales_Data[[#This Row],[Order Date]],"MMM")</f>
        <v>Mar</v>
      </c>
      <c r="L444">
        <f>YEAR(Sales_Data[[#This Row],[Order Date]])</f>
        <v>2023</v>
      </c>
    </row>
    <row r="445" spans="1:12">
      <c r="A445" t="s">
        <v>844</v>
      </c>
      <c r="B445" s="1" t="s">
        <v>95</v>
      </c>
      <c r="C445" t="s">
        <v>529</v>
      </c>
      <c r="D445" t="s">
        <v>18</v>
      </c>
      <c r="E445" t="s">
        <v>19</v>
      </c>
      <c r="F445">
        <v>4</v>
      </c>
      <c r="G445">
        <v>745.27</v>
      </c>
      <c r="H445">
        <v>2981.08</v>
      </c>
      <c r="I445" t="s">
        <v>31</v>
      </c>
      <c r="J445">
        <f xml:space="preserve"> Sales_Data[[#This Row],[Quantity]] * Sales_Data[[#This Row],[Price]]</f>
        <v>2981.08</v>
      </c>
      <c r="K445" t="str">
        <f>TEXT(Sales_Data[[#This Row],[Order Date]],"MMM")</f>
        <v>Aug</v>
      </c>
      <c r="L445">
        <f>YEAR(Sales_Data[[#This Row],[Order Date]])</f>
        <v>2023</v>
      </c>
    </row>
    <row r="446" spans="1:12">
      <c r="A446" t="s">
        <v>845</v>
      </c>
      <c r="B446" s="1" t="s">
        <v>846</v>
      </c>
      <c r="C446" t="s">
        <v>102</v>
      </c>
      <c r="D446" t="s">
        <v>110</v>
      </c>
      <c r="E446" t="s">
        <v>52</v>
      </c>
      <c r="F446">
        <v>1</v>
      </c>
      <c r="G446">
        <v>1086.3</v>
      </c>
      <c r="H446">
        <v>1086.3</v>
      </c>
      <c r="I446" t="s">
        <v>31</v>
      </c>
      <c r="J446">
        <f xml:space="preserve"> Sales_Data[[#This Row],[Quantity]] * Sales_Data[[#This Row],[Price]]</f>
        <v>1086.3</v>
      </c>
      <c r="K446" t="str">
        <f>TEXT(Sales_Data[[#This Row],[Order Date]],"MMM")</f>
        <v>Aug</v>
      </c>
      <c r="L446">
        <f>YEAR(Sales_Data[[#This Row],[Order Date]])</f>
        <v>2023</v>
      </c>
    </row>
    <row r="447" spans="1:12">
      <c r="A447" t="s">
        <v>847</v>
      </c>
      <c r="B447" s="1" t="s">
        <v>848</v>
      </c>
      <c r="C447" t="s">
        <v>265</v>
      </c>
      <c r="D447" t="s">
        <v>30</v>
      </c>
      <c r="E447" t="s">
        <v>19</v>
      </c>
      <c r="F447">
        <v>4</v>
      </c>
      <c r="G447">
        <v>1138.3900000000001</v>
      </c>
      <c r="H447">
        <v>4553.5600000000004</v>
      </c>
      <c r="I447" t="s">
        <v>14</v>
      </c>
      <c r="J447">
        <f xml:space="preserve"> Sales_Data[[#This Row],[Quantity]] * Sales_Data[[#This Row],[Price]]</f>
        <v>4553.5600000000004</v>
      </c>
      <c r="K447" t="str">
        <f>TEXT(Sales_Data[[#This Row],[Order Date]],"MMM")</f>
        <v>Aug</v>
      </c>
      <c r="L447">
        <f>YEAR(Sales_Data[[#This Row],[Order Date]])</f>
        <v>2023</v>
      </c>
    </row>
    <row r="448" spans="1:12">
      <c r="A448" t="s">
        <v>849</v>
      </c>
      <c r="B448" s="1" t="s">
        <v>310</v>
      </c>
      <c r="C448" t="s">
        <v>124</v>
      </c>
      <c r="D448" t="s">
        <v>35</v>
      </c>
      <c r="E448" t="s">
        <v>13</v>
      </c>
      <c r="F448">
        <v>5</v>
      </c>
      <c r="G448">
        <v>69.67</v>
      </c>
      <c r="H448">
        <v>348.35</v>
      </c>
      <c r="I448" t="s">
        <v>31</v>
      </c>
      <c r="J448">
        <f xml:space="preserve"> Sales_Data[[#This Row],[Quantity]] * Sales_Data[[#This Row],[Price]]</f>
        <v>348.35</v>
      </c>
      <c r="K448" t="str">
        <f>TEXT(Sales_Data[[#This Row],[Order Date]],"MMM")</f>
        <v>Sept</v>
      </c>
      <c r="L448">
        <f>YEAR(Sales_Data[[#This Row],[Order Date]])</f>
        <v>2023</v>
      </c>
    </row>
    <row r="449" spans="1:12">
      <c r="A449" t="s">
        <v>850</v>
      </c>
      <c r="B449" s="1" t="s">
        <v>851</v>
      </c>
      <c r="C449" t="s">
        <v>353</v>
      </c>
      <c r="D449" t="s">
        <v>59</v>
      </c>
      <c r="E449" t="s">
        <v>40</v>
      </c>
      <c r="F449">
        <v>4</v>
      </c>
      <c r="G449">
        <v>852.94</v>
      </c>
      <c r="H449">
        <v>3411.76</v>
      </c>
      <c r="I449" t="s">
        <v>31</v>
      </c>
      <c r="J449">
        <f xml:space="preserve"> Sales_Data[[#This Row],[Quantity]] * Sales_Data[[#This Row],[Price]]</f>
        <v>3411.76</v>
      </c>
      <c r="K449" t="str">
        <f>TEXT(Sales_Data[[#This Row],[Order Date]],"MMM")</f>
        <v>Nov</v>
      </c>
      <c r="L449">
        <f>YEAR(Sales_Data[[#This Row],[Order Date]])</f>
        <v>2023</v>
      </c>
    </row>
    <row r="450" spans="1:12">
      <c r="A450" t="s">
        <v>852</v>
      </c>
      <c r="B450" s="1" t="s">
        <v>624</v>
      </c>
      <c r="C450" t="s">
        <v>371</v>
      </c>
      <c r="D450" t="s">
        <v>39</v>
      </c>
      <c r="E450" t="s">
        <v>40</v>
      </c>
      <c r="F450">
        <v>3</v>
      </c>
      <c r="G450">
        <v>1112.53</v>
      </c>
      <c r="H450">
        <v>3337.59</v>
      </c>
      <c r="I450" t="s">
        <v>23</v>
      </c>
      <c r="J450">
        <f xml:space="preserve"> Sales_Data[[#This Row],[Quantity]] * Sales_Data[[#This Row],[Price]]</f>
        <v>3337.59</v>
      </c>
      <c r="K450" t="str">
        <f>TEXT(Sales_Data[[#This Row],[Order Date]],"MMM")</f>
        <v>Feb</v>
      </c>
      <c r="L450">
        <f>YEAR(Sales_Data[[#This Row],[Order Date]])</f>
        <v>2023</v>
      </c>
    </row>
    <row r="451" spans="1:12">
      <c r="A451" t="s">
        <v>853</v>
      </c>
      <c r="B451" s="1" t="s">
        <v>854</v>
      </c>
      <c r="C451" t="s">
        <v>22</v>
      </c>
      <c r="D451" t="s">
        <v>18</v>
      </c>
      <c r="E451" t="s">
        <v>19</v>
      </c>
      <c r="F451">
        <v>3</v>
      </c>
      <c r="G451">
        <v>1355.2</v>
      </c>
      <c r="H451">
        <v>4065.6</v>
      </c>
      <c r="I451" t="s">
        <v>47</v>
      </c>
      <c r="J451">
        <f xml:space="preserve"> Sales_Data[[#This Row],[Quantity]] * Sales_Data[[#This Row],[Price]]</f>
        <v>4065.6000000000004</v>
      </c>
      <c r="K451" t="str">
        <f>TEXT(Sales_Data[[#This Row],[Order Date]],"MMM")</f>
        <v>Jan</v>
      </c>
      <c r="L451">
        <f>YEAR(Sales_Data[[#This Row],[Order Date]])</f>
        <v>2023</v>
      </c>
    </row>
    <row r="452" spans="1:12">
      <c r="A452" t="s">
        <v>855</v>
      </c>
      <c r="B452" s="1" t="s">
        <v>286</v>
      </c>
      <c r="C452" t="s">
        <v>177</v>
      </c>
      <c r="D452" t="s">
        <v>39</v>
      </c>
      <c r="E452" t="s">
        <v>40</v>
      </c>
      <c r="F452">
        <v>4</v>
      </c>
      <c r="G452">
        <v>1687.49</v>
      </c>
      <c r="H452">
        <v>6749.96</v>
      </c>
      <c r="I452" t="s">
        <v>23</v>
      </c>
      <c r="J452">
        <f xml:space="preserve"> Sales_Data[[#This Row],[Quantity]] * Sales_Data[[#This Row],[Price]]</f>
        <v>6749.96</v>
      </c>
      <c r="K452" t="str">
        <f>TEXT(Sales_Data[[#This Row],[Order Date]],"MMM")</f>
        <v>Feb</v>
      </c>
      <c r="L452">
        <f>YEAR(Sales_Data[[#This Row],[Order Date]])</f>
        <v>2023</v>
      </c>
    </row>
    <row r="453" spans="1:12">
      <c r="A453" t="s">
        <v>856</v>
      </c>
      <c r="B453" s="1" t="s">
        <v>857</v>
      </c>
      <c r="C453" t="s">
        <v>368</v>
      </c>
      <c r="D453" t="s">
        <v>39</v>
      </c>
      <c r="E453" t="s">
        <v>40</v>
      </c>
      <c r="F453">
        <v>5</v>
      </c>
      <c r="G453">
        <v>1150.75</v>
      </c>
      <c r="H453">
        <v>5753.75</v>
      </c>
      <c r="I453" t="s">
        <v>14</v>
      </c>
      <c r="J453">
        <f xml:space="preserve"> Sales_Data[[#This Row],[Quantity]] * Sales_Data[[#This Row],[Price]]</f>
        <v>5753.75</v>
      </c>
      <c r="K453" t="str">
        <f>TEXT(Sales_Data[[#This Row],[Order Date]],"MMM")</f>
        <v>Oct</v>
      </c>
      <c r="L453">
        <f>YEAR(Sales_Data[[#This Row],[Order Date]])</f>
        <v>2023</v>
      </c>
    </row>
    <row r="454" spans="1:12">
      <c r="A454" t="s">
        <v>858</v>
      </c>
      <c r="B454" s="1" t="s">
        <v>859</v>
      </c>
      <c r="C454" t="s">
        <v>249</v>
      </c>
      <c r="D454" t="s">
        <v>79</v>
      </c>
      <c r="E454" t="s">
        <v>52</v>
      </c>
      <c r="F454">
        <v>2</v>
      </c>
      <c r="G454">
        <v>757.89</v>
      </c>
      <c r="H454">
        <v>1515.78</v>
      </c>
      <c r="I454" t="s">
        <v>14</v>
      </c>
      <c r="J454">
        <f xml:space="preserve"> Sales_Data[[#This Row],[Quantity]] * Sales_Data[[#This Row],[Price]]</f>
        <v>1515.78</v>
      </c>
      <c r="K454" t="str">
        <f>TEXT(Sales_Data[[#This Row],[Order Date]],"MMM")</f>
        <v>Aug</v>
      </c>
      <c r="L454">
        <f>YEAR(Sales_Data[[#This Row],[Order Date]])</f>
        <v>2023</v>
      </c>
    </row>
    <row r="455" spans="1:12">
      <c r="A455" t="s">
        <v>860</v>
      </c>
      <c r="B455" s="1" t="s">
        <v>115</v>
      </c>
      <c r="C455" t="s">
        <v>679</v>
      </c>
      <c r="D455" t="s">
        <v>30</v>
      </c>
      <c r="E455" t="s">
        <v>19</v>
      </c>
      <c r="F455">
        <v>4</v>
      </c>
      <c r="G455">
        <v>1777.47</v>
      </c>
      <c r="H455">
        <v>7109.88</v>
      </c>
      <c r="I455" t="s">
        <v>31</v>
      </c>
      <c r="J455">
        <f xml:space="preserve"> Sales_Data[[#This Row],[Quantity]] * Sales_Data[[#This Row],[Price]]</f>
        <v>7109.88</v>
      </c>
      <c r="K455" t="str">
        <f>TEXT(Sales_Data[[#This Row],[Order Date]],"MMM")</f>
        <v>Mar</v>
      </c>
      <c r="L455">
        <f>YEAR(Sales_Data[[#This Row],[Order Date]])</f>
        <v>2023</v>
      </c>
    </row>
    <row r="456" spans="1:12">
      <c r="A456" t="s">
        <v>861</v>
      </c>
      <c r="B456" s="1" t="s">
        <v>259</v>
      </c>
      <c r="C456" t="s">
        <v>22</v>
      </c>
      <c r="D456" t="s">
        <v>30</v>
      </c>
      <c r="E456" t="s">
        <v>19</v>
      </c>
      <c r="F456">
        <v>2</v>
      </c>
      <c r="G456">
        <v>1880.71</v>
      </c>
      <c r="H456">
        <v>3761.42</v>
      </c>
      <c r="I456" t="s">
        <v>31</v>
      </c>
      <c r="J456">
        <f xml:space="preserve"> Sales_Data[[#This Row],[Quantity]] * Sales_Data[[#This Row],[Price]]</f>
        <v>3761.42</v>
      </c>
      <c r="K456" t="str">
        <f>TEXT(Sales_Data[[#This Row],[Order Date]],"MMM")</f>
        <v>May</v>
      </c>
      <c r="L456">
        <f>YEAR(Sales_Data[[#This Row],[Order Date]])</f>
        <v>2023</v>
      </c>
    </row>
    <row r="457" spans="1:12">
      <c r="A457" t="s">
        <v>862</v>
      </c>
      <c r="B457" s="1" t="s">
        <v>622</v>
      </c>
      <c r="C457" t="s">
        <v>411</v>
      </c>
      <c r="D457" t="s">
        <v>79</v>
      </c>
      <c r="E457" t="s">
        <v>52</v>
      </c>
      <c r="F457">
        <v>5</v>
      </c>
      <c r="G457">
        <v>1178.8499999999999</v>
      </c>
      <c r="H457">
        <v>5894.25</v>
      </c>
      <c r="I457" t="s">
        <v>31</v>
      </c>
      <c r="J457">
        <f xml:space="preserve"> Sales_Data[[#This Row],[Quantity]] * Sales_Data[[#This Row],[Price]]</f>
        <v>5894.25</v>
      </c>
      <c r="K457" t="str">
        <f>TEXT(Sales_Data[[#This Row],[Order Date]],"MMM")</f>
        <v>Jun</v>
      </c>
      <c r="L457">
        <f>YEAR(Sales_Data[[#This Row],[Order Date]])</f>
        <v>2023</v>
      </c>
    </row>
    <row r="458" spans="1:12">
      <c r="A458" t="s">
        <v>863</v>
      </c>
      <c r="B458" s="1" t="s">
        <v>377</v>
      </c>
      <c r="C458" t="s">
        <v>17</v>
      </c>
      <c r="D458" t="s">
        <v>39</v>
      </c>
      <c r="E458" t="s">
        <v>40</v>
      </c>
      <c r="F458">
        <v>5</v>
      </c>
      <c r="G458">
        <v>556.46</v>
      </c>
      <c r="H458">
        <v>2782.3</v>
      </c>
      <c r="I458" t="s">
        <v>47</v>
      </c>
      <c r="J458">
        <f xml:space="preserve"> Sales_Data[[#This Row],[Quantity]] * Sales_Data[[#This Row],[Price]]</f>
        <v>2782.3</v>
      </c>
      <c r="K458" t="str">
        <f>TEXT(Sales_Data[[#This Row],[Order Date]],"MMM")</f>
        <v>May</v>
      </c>
      <c r="L458">
        <f>YEAR(Sales_Data[[#This Row],[Order Date]])</f>
        <v>2023</v>
      </c>
    </row>
    <row r="459" spans="1:12">
      <c r="A459" t="s">
        <v>864</v>
      </c>
      <c r="B459" s="1" t="s">
        <v>235</v>
      </c>
      <c r="C459" t="s">
        <v>186</v>
      </c>
      <c r="D459" t="s">
        <v>18</v>
      </c>
      <c r="E459" t="s">
        <v>19</v>
      </c>
      <c r="F459">
        <v>3</v>
      </c>
      <c r="G459">
        <v>349.42</v>
      </c>
      <c r="H459">
        <v>1048.26</v>
      </c>
      <c r="I459" t="s">
        <v>14</v>
      </c>
      <c r="J459">
        <f xml:space="preserve"> Sales_Data[[#This Row],[Quantity]] * Sales_Data[[#This Row],[Price]]</f>
        <v>1048.26</v>
      </c>
      <c r="K459" t="str">
        <f>TEXT(Sales_Data[[#This Row],[Order Date]],"MMM")</f>
        <v>Jun</v>
      </c>
      <c r="L459">
        <f>YEAR(Sales_Data[[#This Row],[Order Date]])</f>
        <v>2023</v>
      </c>
    </row>
    <row r="460" spans="1:12">
      <c r="A460" t="s">
        <v>865</v>
      </c>
      <c r="B460" s="1" t="s">
        <v>77</v>
      </c>
      <c r="C460" t="s">
        <v>93</v>
      </c>
      <c r="D460" t="s">
        <v>110</v>
      </c>
      <c r="E460" t="s">
        <v>52</v>
      </c>
      <c r="F460">
        <v>3</v>
      </c>
      <c r="G460">
        <v>1345.82</v>
      </c>
      <c r="H460">
        <v>4037.46</v>
      </c>
      <c r="I460" t="s">
        <v>23</v>
      </c>
      <c r="J460">
        <f xml:space="preserve"> Sales_Data[[#This Row],[Quantity]] * Sales_Data[[#This Row],[Price]]</f>
        <v>4037.46</v>
      </c>
      <c r="K460" t="str">
        <f>TEXT(Sales_Data[[#This Row],[Order Date]],"MMM")</f>
        <v>Feb</v>
      </c>
      <c r="L460">
        <f>YEAR(Sales_Data[[#This Row],[Order Date]])</f>
        <v>2023</v>
      </c>
    </row>
    <row r="461" spans="1:12">
      <c r="A461" t="s">
        <v>866</v>
      </c>
      <c r="B461" s="1" t="s">
        <v>433</v>
      </c>
      <c r="C461" t="s">
        <v>11</v>
      </c>
      <c r="D461" t="s">
        <v>51</v>
      </c>
      <c r="E461" t="s">
        <v>52</v>
      </c>
      <c r="F461">
        <v>3</v>
      </c>
      <c r="G461">
        <v>1528.1</v>
      </c>
      <c r="H461">
        <v>4584.3</v>
      </c>
      <c r="I461" t="s">
        <v>31</v>
      </c>
      <c r="J461">
        <f xml:space="preserve"> Sales_Data[[#This Row],[Quantity]] * Sales_Data[[#This Row],[Price]]</f>
        <v>4584.2999999999993</v>
      </c>
      <c r="K461" t="str">
        <f>TEXT(Sales_Data[[#This Row],[Order Date]],"MMM")</f>
        <v>Sept</v>
      </c>
      <c r="L461">
        <f>YEAR(Sales_Data[[#This Row],[Order Date]])</f>
        <v>2023</v>
      </c>
    </row>
    <row r="462" spans="1:12">
      <c r="A462" t="s">
        <v>867</v>
      </c>
      <c r="B462" s="1" t="s">
        <v>312</v>
      </c>
      <c r="C462" t="s">
        <v>868</v>
      </c>
      <c r="D462" t="s">
        <v>79</v>
      </c>
      <c r="E462" t="s">
        <v>52</v>
      </c>
      <c r="F462">
        <v>2</v>
      </c>
      <c r="G462">
        <v>910.99</v>
      </c>
      <c r="H462">
        <v>1821.98</v>
      </c>
      <c r="I462" t="s">
        <v>31</v>
      </c>
      <c r="J462">
        <f xml:space="preserve"> Sales_Data[[#This Row],[Quantity]] * Sales_Data[[#This Row],[Price]]</f>
        <v>1821.98</v>
      </c>
      <c r="K462" t="str">
        <f>TEXT(Sales_Data[[#This Row],[Order Date]],"MMM")</f>
        <v>Jul</v>
      </c>
      <c r="L462">
        <f>YEAR(Sales_Data[[#This Row],[Order Date]])</f>
        <v>2023</v>
      </c>
    </row>
    <row r="463" spans="1:12">
      <c r="A463" t="s">
        <v>869</v>
      </c>
      <c r="B463" s="1" t="s">
        <v>295</v>
      </c>
      <c r="C463" t="s">
        <v>65</v>
      </c>
      <c r="D463" t="s">
        <v>59</v>
      </c>
      <c r="E463" t="s">
        <v>40</v>
      </c>
      <c r="F463">
        <v>1</v>
      </c>
      <c r="G463">
        <v>1259.56</v>
      </c>
      <c r="H463">
        <v>1259.56</v>
      </c>
      <c r="I463" t="s">
        <v>47</v>
      </c>
      <c r="J463">
        <f xml:space="preserve"> Sales_Data[[#This Row],[Quantity]] * Sales_Data[[#This Row],[Price]]</f>
        <v>1259.56</v>
      </c>
      <c r="K463" t="str">
        <f>TEXT(Sales_Data[[#This Row],[Order Date]],"MMM")</f>
        <v>Apr</v>
      </c>
      <c r="L463">
        <f>YEAR(Sales_Data[[#This Row],[Order Date]])</f>
        <v>2023</v>
      </c>
    </row>
    <row r="464" spans="1:12">
      <c r="A464" t="s">
        <v>870</v>
      </c>
      <c r="B464" s="1" t="s">
        <v>424</v>
      </c>
      <c r="C464" t="s">
        <v>340</v>
      </c>
      <c r="D464" t="s">
        <v>18</v>
      </c>
      <c r="E464" t="s">
        <v>19</v>
      </c>
      <c r="F464">
        <v>5</v>
      </c>
      <c r="G464">
        <v>425.53</v>
      </c>
      <c r="H464">
        <v>2127.65</v>
      </c>
      <c r="I464" t="s">
        <v>23</v>
      </c>
      <c r="J464">
        <f xml:space="preserve"> Sales_Data[[#This Row],[Quantity]] * Sales_Data[[#This Row],[Price]]</f>
        <v>2127.6499999999996</v>
      </c>
      <c r="K464" t="str">
        <f>TEXT(Sales_Data[[#This Row],[Order Date]],"MMM")</f>
        <v>Sept</v>
      </c>
      <c r="L464">
        <f>YEAR(Sales_Data[[#This Row],[Order Date]])</f>
        <v>2023</v>
      </c>
    </row>
    <row r="465" spans="1:12">
      <c r="A465" t="s">
        <v>871</v>
      </c>
      <c r="B465" s="1" t="s">
        <v>828</v>
      </c>
      <c r="C465" t="s">
        <v>140</v>
      </c>
      <c r="D465" t="s">
        <v>30</v>
      </c>
      <c r="E465" t="s">
        <v>19</v>
      </c>
      <c r="F465">
        <v>2</v>
      </c>
      <c r="G465">
        <v>998.34</v>
      </c>
      <c r="H465">
        <v>1996.68</v>
      </c>
      <c r="I465" t="s">
        <v>31</v>
      </c>
      <c r="J465">
        <f xml:space="preserve"> Sales_Data[[#This Row],[Quantity]] * Sales_Data[[#This Row],[Price]]</f>
        <v>1996.68</v>
      </c>
      <c r="K465" t="str">
        <f>TEXT(Sales_Data[[#This Row],[Order Date]],"MMM")</f>
        <v>Jul</v>
      </c>
      <c r="L465">
        <f>YEAR(Sales_Data[[#This Row],[Order Date]])</f>
        <v>2023</v>
      </c>
    </row>
    <row r="466" spans="1:12">
      <c r="A466" t="s">
        <v>872</v>
      </c>
      <c r="B466" s="1" t="s">
        <v>814</v>
      </c>
      <c r="C466" t="s">
        <v>721</v>
      </c>
      <c r="D466" t="s">
        <v>39</v>
      </c>
      <c r="E466" t="s">
        <v>40</v>
      </c>
      <c r="F466">
        <v>5</v>
      </c>
      <c r="G466">
        <v>1859.94</v>
      </c>
      <c r="H466">
        <v>9299.7000000000007</v>
      </c>
      <c r="I466" t="s">
        <v>23</v>
      </c>
      <c r="J466">
        <f xml:space="preserve"> Sales_Data[[#This Row],[Quantity]] * Sales_Data[[#This Row],[Price]]</f>
        <v>9299.7000000000007</v>
      </c>
      <c r="K466" t="str">
        <f>TEXT(Sales_Data[[#This Row],[Order Date]],"MMM")</f>
        <v>Sept</v>
      </c>
      <c r="L466">
        <f>YEAR(Sales_Data[[#This Row],[Order Date]])</f>
        <v>2023</v>
      </c>
    </row>
    <row r="467" spans="1:12">
      <c r="A467" t="s">
        <v>873</v>
      </c>
      <c r="B467" s="1" t="s">
        <v>194</v>
      </c>
      <c r="C467" t="s">
        <v>65</v>
      </c>
      <c r="D467" t="s">
        <v>39</v>
      </c>
      <c r="E467" t="s">
        <v>40</v>
      </c>
      <c r="F467">
        <v>5</v>
      </c>
      <c r="G467">
        <v>1499.76</v>
      </c>
      <c r="H467">
        <v>7498.8</v>
      </c>
      <c r="I467" t="s">
        <v>47</v>
      </c>
      <c r="J467">
        <f xml:space="preserve"> Sales_Data[[#This Row],[Quantity]] * Sales_Data[[#This Row],[Price]]</f>
        <v>7498.8</v>
      </c>
      <c r="K467" t="str">
        <f>TEXT(Sales_Data[[#This Row],[Order Date]],"MMM")</f>
        <v>Aug</v>
      </c>
      <c r="L467">
        <f>YEAR(Sales_Data[[#This Row],[Order Date]])</f>
        <v>2023</v>
      </c>
    </row>
    <row r="468" spans="1:12">
      <c r="A468" t="s">
        <v>874</v>
      </c>
      <c r="B468" s="1" t="s">
        <v>198</v>
      </c>
      <c r="C468" t="s">
        <v>73</v>
      </c>
      <c r="D468" t="s">
        <v>39</v>
      </c>
      <c r="E468" t="s">
        <v>40</v>
      </c>
      <c r="F468">
        <v>1</v>
      </c>
      <c r="G468">
        <v>621.74</v>
      </c>
      <c r="H468">
        <v>621.74</v>
      </c>
      <c r="I468" t="s">
        <v>14</v>
      </c>
      <c r="J468">
        <f xml:space="preserve"> Sales_Data[[#This Row],[Quantity]] * Sales_Data[[#This Row],[Price]]</f>
        <v>621.74</v>
      </c>
      <c r="K468" t="str">
        <f>TEXT(Sales_Data[[#This Row],[Order Date]],"MMM")</f>
        <v>Mar</v>
      </c>
      <c r="L468">
        <f>YEAR(Sales_Data[[#This Row],[Order Date]])</f>
        <v>2023</v>
      </c>
    </row>
    <row r="469" spans="1:12">
      <c r="A469" t="s">
        <v>875</v>
      </c>
      <c r="B469" s="1" t="s">
        <v>620</v>
      </c>
      <c r="C469" t="s">
        <v>529</v>
      </c>
      <c r="D469" t="s">
        <v>18</v>
      </c>
      <c r="E469" t="s">
        <v>19</v>
      </c>
      <c r="F469">
        <v>5</v>
      </c>
      <c r="G469">
        <v>1701.2</v>
      </c>
      <c r="H469">
        <v>8506</v>
      </c>
      <c r="I469" t="s">
        <v>14</v>
      </c>
      <c r="J469">
        <f xml:space="preserve"> Sales_Data[[#This Row],[Quantity]] * Sales_Data[[#This Row],[Price]]</f>
        <v>8506</v>
      </c>
      <c r="K469" t="str">
        <f>TEXT(Sales_Data[[#This Row],[Order Date]],"MMM")</f>
        <v>Feb</v>
      </c>
      <c r="L469">
        <f>YEAR(Sales_Data[[#This Row],[Order Date]])</f>
        <v>2023</v>
      </c>
    </row>
    <row r="470" spans="1:12">
      <c r="A470" t="s">
        <v>876</v>
      </c>
      <c r="B470" s="1" t="s">
        <v>747</v>
      </c>
      <c r="C470" t="s">
        <v>90</v>
      </c>
      <c r="D470" t="s">
        <v>12</v>
      </c>
      <c r="E470" t="s">
        <v>13</v>
      </c>
      <c r="F470">
        <v>5</v>
      </c>
      <c r="G470">
        <v>1014.68</v>
      </c>
      <c r="H470">
        <v>5073.3999999999996</v>
      </c>
      <c r="I470" t="s">
        <v>14</v>
      </c>
      <c r="J470">
        <f xml:space="preserve"> Sales_Data[[#This Row],[Quantity]] * Sales_Data[[#This Row],[Price]]</f>
        <v>5073.3999999999996</v>
      </c>
      <c r="K470" t="str">
        <f>TEXT(Sales_Data[[#This Row],[Order Date]],"MMM")</f>
        <v>Jul</v>
      </c>
      <c r="L470">
        <f>YEAR(Sales_Data[[#This Row],[Order Date]])</f>
        <v>2023</v>
      </c>
    </row>
    <row r="471" spans="1:12">
      <c r="A471" t="s">
        <v>877</v>
      </c>
      <c r="B471" s="1" t="s">
        <v>624</v>
      </c>
      <c r="C471" t="s">
        <v>538</v>
      </c>
      <c r="D471" t="s">
        <v>59</v>
      </c>
      <c r="E471" t="s">
        <v>40</v>
      </c>
      <c r="F471">
        <v>4</v>
      </c>
      <c r="G471">
        <v>1784.33</v>
      </c>
      <c r="H471">
        <v>7137.32</v>
      </c>
      <c r="I471" t="s">
        <v>23</v>
      </c>
      <c r="J471">
        <f xml:space="preserve"> Sales_Data[[#This Row],[Quantity]] * Sales_Data[[#This Row],[Price]]</f>
        <v>7137.32</v>
      </c>
      <c r="K471" t="str">
        <f>TEXT(Sales_Data[[#This Row],[Order Date]],"MMM")</f>
        <v>Feb</v>
      </c>
      <c r="L471">
        <f>YEAR(Sales_Data[[#This Row],[Order Date]])</f>
        <v>2023</v>
      </c>
    </row>
    <row r="472" spans="1:12">
      <c r="A472" t="s">
        <v>878</v>
      </c>
      <c r="B472" s="1" t="s">
        <v>305</v>
      </c>
      <c r="C472" t="s">
        <v>276</v>
      </c>
      <c r="D472" t="s">
        <v>35</v>
      </c>
      <c r="E472" t="s">
        <v>13</v>
      </c>
      <c r="F472">
        <v>4</v>
      </c>
      <c r="G472">
        <v>1553.59</v>
      </c>
      <c r="H472">
        <v>6214.36</v>
      </c>
      <c r="I472" t="s">
        <v>31</v>
      </c>
      <c r="J472">
        <f xml:space="preserve"> Sales_Data[[#This Row],[Quantity]] * Sales_Data[[#This Row],[Price]]</f>
        <v>6214.36</v>
      </c>
      <c r="K472" t="str">
        <f>TEXT(Sales_Data[[#This Row],[Order Date]],"MMM")</f>
        <v>Jul</v>
      </c>
      <c r="L472">
        <f>YEAR(Sales_Data[[#This Row],[Order Date]])</f>
        <v>2023</v>
      </c>
    </row>
    <row r="473" spans="1:12">
      <c r="A473" t="s">
        <v>879</v>
      </c>
      <c r="B473" s="1" t="s">
        <v>590</v>
      </c>
      <c r="C473" t="s">
        <v>290</v>
      </c>
      <c r="D473" t="s">
        <v>35</v>
      </c>
      <c r="E473" t="s">
        <v>13</v>
      </c>
      <c r="F473">
        <v>2</v>
      </c>
      <c r="G473">
        <v>835.42</v>
      </c>
      <c r="H473">
        <v>1670.84</v>
      </c>
      <c r="I473" t="s">
        <v>14</v>
      </c>
      <c r="J473">
        <f xml:space="preserve"> Sales_Data[[#This Row],[Quantity]] * Sales_Data[[#This Row],[Price]]</f>
        <v>1670.84</v>
      </c>
      <c r="K473" t="str">
        <f>TEXT(Sales_Data[[#This Row],[Order Date]],"MMM")</f>
        <v>Jul</v>
      </c>
      <c r="L473">
        <f>YEAR(Sales_Data[[#This Row],[Order Date]])</f>
        <v>2023</v>
      </c>
    </row>
    <row r="474" spans="1:12">
      <c r="A474" t="s">
        <v>880</v>
      </c>
      <c r="B474" s="1" t="s">
        <v>123</v>
      </c>
      <c r="C474" t="s">
        <v>394</v>
      </c>
      <c r="D474" t="s">
        <v>39</v>
      </c>
      <c r="E474" t="s">
        <v>40</v>
      </c>
      <c r="F474">
        <v>4</v>
      </c>
      <c r="G474">
        <v>381.63</v>
      </c>
      <c r="H474">
        <v>1526.52</v>
      </c>
      <c r="I474" t="s">
        <v>31</v>
      </c>
      <c r="J474">
        <f xml:space="preserve"> Sales_Data[[#This Row],[Quantity]] * Sales_Data[[#This Row],[Price]]</f>
        <v>1526.52</v>
      </c>
      <c r="K474" t="str">
        <f>TEXT(Sales_Data[[#This Row],[Order Date]],"MMM")</f>
        <v>Nov</v>
      </c>
      <c r="L474">
        <f>YEAR(Sales_Data[[#This Row],[Order Date]])</f>
        <v>2023</v>
      </c>
    </row>
    <row r="475" spans="1:12">
      <c r="A475" t="s">
        <v>881</v>
      </c>
      <c r="B475" s="1" t="s">
        <v>493</v>
      </c>
      <c r="C475" t="s">
        <v>78</v>
      </c>
      <c r="D475" t="s">
        <v>39</v>
      </c>
      <c r="E475" t="s">
        <v>40</v>
      </c>
      <c r="F475">
        <v>4</v>
      </c>
      <c r="G475">
        <v>408.45</v>
      </c>
      <c r="H475">
        <v>1633.8</v>
      </c>
      <c r="I475" t="s">
        <v>31</v>
      </c>
      <c r="J475">
        <f xml:space="preserve"> Sales_Data[[#This Row],[Quantity]] * Sales_Data[[#This Row],[Price]]</f>
        <v>1633.8</v>
      </c>
      <c r="K475" t="str">
        <f>TEXT(Sales_Data[[#This Row],[Order Date]],"MMM")</f>
        <v>May</v>
      </c>
      <c r="L475">
        <f>YEAR(Sales_Data[[#This Row],[Order Date]])</f>
        <v>2023</v>
      </c>
    </row>
    <row r="476" spans="1:12">
      <c r="A476" t="s">
        <v>882</v>
      </c>
      <c r="B476" s="1" t="s">
        <v>883</v>
      </c>
      <c r="C476" t="s">
        <v>429</v>
      </c>
      <c r="D476" t="s">
        <v>12</v>
      </c>
      <c r="E476" t="s">
        <v>13</v>
      </c>
      <c r="F476">
        <v>1</v>
      </c>
      <c r="G476">
        <v>1201.99</v>
      </c>
      <c r="H476">
        <v>1201.99</v>
      </c>
      <c r="I476" t="s">
        <v>23</v>
      </c>
      <c r="J476">
        <f xml:space="preserve"> Sales_Data[[#This Row],[Quantity]] * Sales_Data[[#This Row],[Price]]</f>
        <v>1201.99</v>
      </c>
      <c r="K476" t="str">
        <f>TEXT(Sales_Data[[#This Row],[Order Date]],"MMM")</f>
        <v>Mar</v>
      </c>
      <c r="L476">
        <f>YEAR(Sales_Data[[#This Row],[Order Date]])</f>
        <v>2023</v>
      </c>
    </row>
    <row r="477" spans="1:12">
      <c r="A477" t="s">
        <v>884</v>
      </c>
      <c r="B477" s="1" t="s">
        <v>787</v>
      </c>
      <c r="C477" t="s">
        <v>70</v>
      </c>
      <c r="D477" t="s">
        <v>79</v>
      </c>
      <c r="E477" t="s">
        <v>52</v>
      </c>
      <c r="F477">
        <v>1</v>
      </c>
      <c r="G477">
        <v>1214.1400000000001</v>
      </c>
      <c r="H477">
        <v>1214.1400000000001</v>
      </c>
      <c r="I477" t="s">
        <v>14</v>
      </c>
      <c r="J477">
        <f xml:space="preserve"> Sales_Data[[#This Row],[Quantity]] * Sales_Data[[#This Row],[Price]]</f>
        <v>1214.1400000000001</v>
      </c>
      <c r="K477" t="str">
        <f>TEXT(Sales_Data[[#This Row],[Order Date]],"MMM")</f>
        <v>Nov</v>
      </c>
      <c r="L477">
        <f>YEAR(Sales_Data[[#This Row],[Order Date]])</f>
        <v>2023</v>
      </c>
    </row>
    <row r="478" spans="1:12">
      <c r="A478" t="s">
        <v>885</v>
      </c>
      <c r="B478" s="1" t="s">
        <v>129</v>
      </c>
      <c r="C478" t="s">
        <v>113</v>
      </c>
      <c r="D478" t="s">
        <v>30</v>
      </c>
      <c r="E478" t="s">
        <v>19</v>
      </c>
      <c r="F478">
        <v>2</v>
      </c>
      <c r="G478">
        <v>791.51</v>
      </c>
      <c r="H478">
        <v>1583.02</v>
      </c>
      <c r="I478" t="s">
        <v>14</v>
      </c>
      <c r="J478">
        <f xml:space="preserve"> Sales_Data[[#This Row],[Quantity]] * Sales_Data[[#This Row],[Price]]</f>
        <v>1583.02</v>
      </c>
      <c r="K478" t="str">
        <f>TEXT(Sales_Data[[#This Row],[Order Date]],"MMM")</f>
        <v>Oct</v>
      </c>
      <c r="L478">
        <f>YEAR(Sales_Data[[#This Row],[Order Date]])</f>
        <v>2023</v>
      </c>
    </row>
    <row r="479" spans="1:12">
      <c r="A479" t="s">
        <v>886</v>
      </c>
      <c r="B479" s="1" t="s">
        <v>654</v>
      </c>
      <c r="C479" t="s">
        <v>90</v>
      </c>
      <c r="D479" t="s">
        <v>18</v>
      </c>
      <c r="E479" t="s">
        <v>19</v>
      </c>
      <c r="F479">
        <v>1</v>
      </c>
      <c r="G479">
        <v>1610.41</v>
      </c>
      <c r="H479">
        <v>1610.41</v>
      </c>
      <c r="I479" t="s">
        <v>47</v>
      </c>
      <c r="J479">
        <f xml:space="preserve"> Sales_Data[[#This Row],[Quantity]] * Sales_Data[[#This Row],[Price]]</f>
        <v>1610.41</v>
      </c>
      <c r="K479" t="str">
        <f>TEXT(Sales_Data[[#This Row],[Order Date]],"MMM")</f>
        <v>Jun</v>
      </c>
      <c r="L479">
        <f>YEAR(Sales_Data[[#This Row],[Order Date]])</f>
        <v>2023</v>
      </c>
    </row>
    <row r="480" spans="1:12">
      <c r="A480" t="s">
        <v>887</v>
      </c>
      <c r="B480" s="1" t="s">
        <v>635</v>
      </c>
      <c r="C480" t="s">
        <v>353</v>
      </c>
      <c r="D480" t="s">
        <v>79</v>
      </c>
      <c r="E480" t="s">
        <v>52</v>
      </c>
      <c r="F480">
        <v>3</v>
      </c>
      <c r="G480">
        <v>1395.04</v>
      </c>
      <c r="H480">
        <v>4185.12</v>
      </c>
      <c r="I480" t="s">
        <v>47</v>
      </c>
      <c r="J480">
        <f xml:space="preserve"> Sales_Data[[#This Row],[Quantity]] * Sales_Data[[#This Row],[Price]]</f>
        <v>4185.12</v>
      </c>
      <c r="K480" t="str">
        <f>TEXT(Sales_Data[[#This Row],[Order Date]],"MMM")</f>
        <v>Mar</v>
      </c>
      <c r="L480">
        <f>YEAR(Sales_Data[[#This Row],[Order Date]])</f>
        <v>2023</v>
      </c>
    </row>
    <row r="481" spans="1:12">
      <c r="A481" t="s">
        <v>888</v>
      </c>
      <c r="B481" s="1" t="s">
        <v>726</v>
      </c>
      <c r="C481" t="s">
        <v>337</v>
      </c>
      <c r="D481" t="s">
        <v>59</v>
      </c>
      <c r="E481" t="s">
        <v>40</v>
      </c>
      <c r="F481">
        <v>2</v>
      </c>
      <c r="G481">
        <v>1534.73</v>
      </c>
      <c r="H481">
        <v>3069.46</v>
      </c>
      <c r="I481" t="s">
        <v>31</v>
      </c>
      <c r="J481">
        <f xml:space="preserve"> Sales_Data[[#This Row],[Quantity]] * Sales_Data[[#This Row],[Price]]</f>
        <v>3069.46</v>
      </c>
      <c r="K481" t="str">
        <f>TEXT(Sales_Data[[#This Row],[Order Date]],"MMM")</f>
        <v>Sept</v>
      </c>
      <c r="L481">
        <f>YEAR(Sales_Data[[#This Row],[Order Date]])</f>
        <v>2023</v>
      </c>
    </row>
    <row r="482" spans="1:12">
      <c r="A482" t="s">
        <v>889</v>
      </c>
      <c r="B482" s="1" t="s">
        <v>890</v>
      </c>
      <c r="C482" t="s">
        <v>118</v>
      </c>
      <c r="D482" t="s">
        <v>79</v>
      </c>
      <c r="E482" t="s">
        <v>52</v>
      </c>
      <c r="F482">
        <v>3</v>
      </c>
      <c r="G482">
        <v>504.21</v>
      </c>
      <c r="H482">
        <v>1512.63</v>
      </c>
      <c r="I482" t="s">
        <v>47</v>
      </c>
      <c r="J482">
        <f xml:space="preserve"> Sales_Data[[#This Row],[Quantity]] * Sales_Data[[#This Row],[Price]]</f>
        <v>1512.6299999999999</v>
      </c>
      <c r="K482" t="str">
        <f>TEXT(Sales_Data[[#This Row],[Order Date]],"MMM")</f>
        <v>Feb</v>
      </c>
      <c r="L482">
        <f>YEAR(Sales_Data[[#This Row],[Order Date]])</f>
        <v>2023</v>
      </c>
    </row>
    <row r="483" spans="1:12">
      <c r="A483" t="s">
        <v>891</v>
      </c>
      <c r="B483" s="1" t="s">
        <v>766</v>
      </c>
      <c r="C483" t="s">
        <v>68</v>
      </c>
      <c r="D483" t="s">
        <v>18</v>
      </c>
      <c r="E483" t="s">
        <v>19</v>
      </c>
      <c r="F483">
        <v>5</v>
      </c>
      <c r="G483">
        <v>205.61</v>
      </c>
      <c r="H483">
        <v>1028.05</v>
      </c>
      <c r="I483" t="s">
        <v>14</v>
      </c>
      <c r="J483">
        <f xml:space="preserve"> Sales_Data[[#This Row],[Quantity]] * Sales_Data[[#This Row],[Price]]</f>
        <v>1028.0500000000002</v>
      </c>
      <c r="K483" t="str">
        <f>TEXT(Sales_Data[[#This Row],[Order Date]],"MMM")</f>
        <v>Aug</v>
      </c>
      <c r="L483">
        <f>YEAR(Sales_Data[[#This Row],[Order Date]])</f>
        <v>2023</v>
      </c>
    </row>
    <row r="484" spans="1:12">
      <c r="A484" t="s">
        <v>892</v>
      </c>
      <c r="B484" s="1" t="s">
        <v>196</v>
      </c>
      <c r="C484" t="s">
        <v>343</v>
      </c>
      <c r="D484" t="s">
        <v>79</v>
      </c>
      <c r="E484" t="s">
        <v>52</v>
      </c>
      <c r="F484">
        <v>3</v>
      </c>
      <c r="G484">
        <v>1529.3</v>
      </c>
      <c r="H484">
        <v>4587.8999999999996</v>
      </c>
      <c r="I484" t="s">
        <v>23</v>
      </c>
      <c r="J484">
        <f xml:space="preserve"> Sales_Data[[#This Row],[Quantity]] * Sales_Data[[#This Row],[Price]]</f>
        <v>4587.8999999999996</v>
      </c>
      <c r="K484" t="str">
        <f>TEXT(Sales_Data[[#This Row],[Order Date]],"MMM")</f>
        <v>Apr</v>
      </c>
      <c r="L484">
        <f>YEAR(Sales_Data[[#This Row],[Order Date]])</f>
        <v>2023</v>
      </c>
    </row>
    <row r="485" spans="1:12">
      <c r="A485" t="s">
        <v>893</v>
      </c>
      <c r="B485" s="1" t="s">
        <v>380</v>
      </c>
      <c r="C485" t="s">
        <v>238</v>
      </c>
      <c r="D485" t="s">
        <v>79</v>
      </c>
      <c r="E485" t="s">
        <v>52</v>
      </c>
      <c r="F485">
        <v>4</v>
      </c>
      <c r="G485">
        <v>900.41</v>
      </c>
      <c r="H485">
        <v>3601.64</v>
      </c>
      <c r="I485" t="s">
        <v>23</v>
      </c>
      <c r="J485">
        <f xml:space="preserve"> Sales_Data[[#This Row],[Quantity]] * Sales_Data[[#This Row],[Price]]</f>
        <v>3601.64</v>
      </c>
      <c r="K485" t="str">
        <f>TEXT(Sales_Data[[#This Row],[Order Date]],"MMM")</f>
        <v>Jun</v>
      </c>
      <c r="L485">
        <f>YEAR(Sales_Data[[#This Row],[Order Date]])</f>
        <v>2023</v>
      </c>
    </row>
    <row r="486" spans="1:12">
      <c r="A486" t="s">
        <v>894</v>
      </c>
      <c r="B486" s="1" t="s">
        <v>33</v>
      </c>
      <c r="C486" t="s">
        <v>752</v>
      </c>
      <c r="D486" t="s">
        <v>51</v>
      </c>
      <c r="E486" t="s">
        <v>52</v>
      </c>
      <c r="F486">
        <v>2</v>
      </c>
      <c r="G486">
        <v>1205.2</v>
      </c>
      <c r="H486">
        <v>2410.4</v>
      </c>
      <c r="I486" t="s">
        <v>14</v>
      </c>
      <c r="J486">
        <f xml:space="preserve"> Sales_Data[[#This Row],[Quantity]] * Sales_Data[[#This Row],[Price]]</f>
        <v>2410.4</v>
      </c>
      <c r="K486" t="str">
        <f>TEXT(Sales_Data[[#This Row],[Order Date]],"MMM")</f>
        <v>Dec</v>
      </c>
      <c r="L486">
        <f>YEAR(Sales_Data[[#This Row],[Order Date]])</f>
        <v>2023</v>
      </c>
    </row>
    <row r="487" spans="1:12">
      <c r="A487" t="s">
        <v>895</v>
      </c>
      <c r="B487" s="1" t="s">
        <v>896</v>
      </c>
      <c r="C487" t="s">
        <v>62</v>
      </c>
      <c r="D487" t="s">
        <v>35</v>
      </c>
      <c r="E487" t="s">
        <v>13</v>
      </c>
      <c r="F487">
        <v>4</v>
      </c>
      <c r="G487">
        <v>366.09</v>
      </c>
      <c r="H487">
        <v>1464.36</v>
      </c>
      <c r="I487" t="s">
        <v>23</v>
      </c>
      <c r="J487">
        <f xml:space="preserve"> Sales_Data[[#This Row],[Quantity]] * Sales_Data[[#This Row],[Price]]</f>
        <v>1464.36</v>
      </c>
      <c r="K487" t="str">
        <f>TEXT(Sales_Data[[#This Row],[Order Date]],"MMM")</f>
        <v>Jul</v>
      </c>
      <c r="L487">
        <f>YEAR(Sales_Data[[#This Row],[Order Date]])</f>
        <v>2023</v>
      </c>
    </row>
    <row r="488" spans="1:12">
      <c r="A488" t="s">
        <v>897</v>
      </c>
      <c r="B488" s="1" t="s">
        <v>155</v>
      </c>
      <c r="C488" t="s">
        <v>290</v>
      </c>
      <c r="D488" t="s">
        <v>35</v>
      </c>
      <c r="E488" t="s">
        <v>13</v>
      </c>
      <c r="F488">
        <v>1</v>
      </c>
      <c r="G488">
        <v>1572.63</v>
      </c>
      <c r="H488">
        <v>1572.63</v>
      </c>
      <c r="I488" t="s">
        <v>23</v>
      </c>
      <c r="J488">
        <f xml:space="preserve"> Sales_Data[[#This Row],[Quantity]] * Sales_Data[[#This Row],[Price]]</f>
        <v>1572.63</v>
      </c>
      <c r="K488" t="str">
        <f>TEXT(Sales_Data[[#This Row],[Order Date]],"MMM")</f>
        <v>May</v>
      </c>
      <c r="L488">
        <f>YEAR(Sales_Data[[#This Row],[Order Date]])</f>
        <v>2023</v>
      </c>
    </row>
    <row r="489" spans="1:12">
      <c r="A489" t="s">
        <v>898</v>
      </c>
      <c r="B489" s="1" t="s">
        <v>560</v>
      </c>
      <c r="C489" t="s">
        <v>186</v>
      </c>
      <c r="D489" t="s">
        <v>12</v>
      </c>
      <c r="E489" t="s">
        <v>13</v>
      </c>
      <c r="F489">
        <v>4</v>
      </c>
      <c r="G489">
        <v>1605.85</v>
      </c>
      <c r="H489">
        <v>6423.4</v>
      </c>
      <c r="I489" t="s">
        <v>31</v>
      </c>
      <c r="J489">
        <f xml:space="preserve"> Sales_Data[[#This Row],[Quantity]] * Sales_Data[[#This Row],[Price]]</f>
        <v>6423.4</v>
      </c>
      <c r="K489" t="str">
        <f>TEXT(Sales_Data[[#This Row],[Order Date]],"MMM")</f>
        <v>Apr</v>
      </c>
      <c r="L489">
        <f>YEAR(Sales_Data[[#This Row],[Order Date]])</f>
        <v>2023</v>
      </c>
    </row>
    <row r="490" spans="1:12">
      <c r="A490" t="s">
        <v>899</v>
      </c>
      <c r="B490" s="1" t="s">
        <v>616</v>
      </c>
      <c r="C490" t="s">
        <v>159</v>
      </c>
      <c r="D490" t="s">
        <v>110</v>
      </c>
      <c r="E490" t="s">
        <v>52</v>
      </c>
      <c r="F490">
        <v>5</v>
      </c>
      <c r="G490">
        <v>812.96</v>
      </c>
      <c r="H490">
        <v>4064.8</v>
      </c>
      <c r="I490" t="s">
        <v>47</v>
      </c>
      <c r="J490">
        <f xml:space="preserve"> Sales_Data[[#This Row],[Quantity]] * Sales_Data[[#This Row],[Price]]</f>
        <v>4064.8</v>
      </c>
      <c r="K490" t="str">
        <f>TEXT(Sales_Data[[#This Row],[Order Date]],"MMM")</f>
        <v>Oct</v>
      </c>
      <c r="L490">
        <f>YEAR(Sales_Data[[#This Row],[Order Date]])</f>
        <v>2023</v>
      </c>
    </row>
    <row r="491" spans="1:12">
      <c r="A491" t="s">
        <v>900</v>
      </c>
      <c r="B491" s="1" t="s">
        <v>901</v>
      </c>
      <c r="C491" t="s">
        <v>340</v>
      </c>
      <c r="D491" t="s">
        <v>30</v>
      </c>
      <c r="E491" t="s">
        <v>19</v>
      </c>
      <c r="F491">
        <v>3</v>
      </c>
      <c r="G491">
        <v>847.97</v>
      </c>
      <c r="H491">
        <v>2543.91</v>
      </c>
      <c r="I491" t="s">
        <v>14</v>
      </c>
      <c r="J491">
        <f xml:space="preserve"> Sales_Data[[#This Row],[Quantity]] * Sales_Data[[#This Row],[Price]]</f>
        <v>2543.91</v>
      </c>
      <c r="K491" t="str">
        <f>TEXT(Sales_Data[[#This Row],[Order Date]],"MMM")</f>
        <v>Oct</v>
      </c>
      <c r="L491">
        <f>YEAR(Sales_Data[[#This Row],[Order Date]])</f>
        <v>2023</v>
      </c>
    </row>
    <row r="492" spans="1:12">
      <c r="A492" t="s">
        <v>902</v>
      </c>
      <c r="B492" s="1" t="s">
        <v>198</v>
      </c>
      <c r="C492" t="s">
        <v>548</v>
      </c>
      <c r="D492" t="s">
        <v>51</v>
      </c>
      <c r="E492" t="s">
        <v>52</v>
      </c>
      <c r="F492">
        <v>5</v>
      </c>
      <c r="G492">
        <v>1519.85</v>
      </c>
      <c r="H492">
        <v>7599.25</v>
      </c>
      <c r="I492" t="s">
        <v>14</v>
      </c>
      <c r="J492">
        <f xml:space="preserve"> Sales_Data[[#This Row],[Quantity]] * Sales_Data[[#This Row],[Price]]</f>
        <v>7599.25</v>
      </c>
      <c r="K492" t="str">
        <f>TEXT(Sales_Data[[#This Row],[Order Date]],"MMM")</f>
        <v>Mar</v>
      </c>
      <c r="L492">
        <f>YEAR(Sales_Data[[#This Row],[Order Date]])</f>
        <v>2023</v>
      </c>
    </row>
    <row r="493" spans="1:12">
      <c r="A493" t="s">
        <v>903</v>
      </c>
      <c r="B493" s="1" t="s">
        <v>611</v>
      </c>
      <c r="C493" t="s">
        <v>467</v>
      </c>
      <c r="D493" t="s">
        <v>18</v>
      </c>
      <c r="E493" t="s">
        <v>19</v>
      </c>
      <c r="F493">
        <v>3</v>
      </c>
      <c r="G493">
        <v>1017.82</v>
      </c>
      <c r="H493">
        <v>3053.46</v>
      </c>
      <c r="I493" t="s">
        <v>23</v>
      </c>
      <c r="J493">
        <f xml:space="preserve"> Sales_Data[[#This Row],[Quantity]] * Sales_Data[[#This Row],[Price]]</f>
        <v>3053.46</v>
      </c>
      <c r="K493" t="str">
        <f>TEXT(Sales_Data[[#This Row],[Order Date]],"MMM")</f>
        <v>Jul</v>
      </c>
      <c r="L493">
        <f>YEAR(Sales_Data[[#This Row],[Order Date]])</f>
        <v>2023</v>
      </c>
    </row>
    <row r="494" spans="1:12">
      <c r="A494" t="s">
        <v>904</v>
      </c>
      <c r="B494" s="1" t="s">
        <v>54</v>
      </c>
      <c r="C494" t="s">
        <v>228</v>
      </c>
      <c r="D494" t="s">
        <v>39</v>
      </c>
      <c r="E494" t="s">
        <v>40</v>
      </c>
      <c r="F494">
        <v>2</v>
      </c>
      <c r="G494">
        <v>639.80999999999995</v>
      </c>
      <c r="H494">
        <v>1279.6199999999999</v>
      </c>
      <c r="I494" t="s">
        <v>14</v>
      </c>
      <c r="J494">
        <f xml:space="preserve"> Sales_Data[[#This Row],[Quantity]] * Sales_Data[[#This Row],[Price]]</f>
        <v>1279.6199999999999</v>
      </c>
      <c r="K494" t="str">
        <f>TEXT(Sales_Data[[#This Row],[Order Date]],"MMM")</f>
        <v>Dec</v>
      </c>
      <c r="L494">
        <f>YEAR(Sales_Data[[#This Row],[Order Date]])</f>
        <v>2023</v>
      </c>
    </row>
    <row r="495" spans="1:12">
      <c r="A495" t="s">
        <v>905</v>
      </c>
      <c r="B495" s="1" t="s">
        <v>635</v>
      </c>
      <c r="C495" t="s">
        <v>189</v>
      </c>
      <c r="D495" t="s">
        <v>51</v>
      </c>
      <c r="E495" t="s">
        <v>52</v>
      </c>
      <c r="F495">
        <v>2</v>
      </c>
      <c r="G495">
        <v>1479.35</v>
      </c>
      <c r="H495">
        <v>2958.7</v>
      </c>
      <c r="I495" t="s">
        <v>31</v>
      </c>
      <c r="J495">
        <f xml:space="preserve"> Sales_Data[[#This Row],[Quantity]] * Sales_Data[[#This Row],[Price]]</f>
        <v>2958.7</v>
      </c>
      <c r="K495" t="str">
        <f>TEXT(Sales_Data[[#This Row],[Order Date]],"MMM")</f>
        <v>Mar</v>
      </c>
      <c r="L495">
        <f>YEAR(Sales_Data[[#This Row],[Order Date]])</f>
        <v>2023</v>
      </c>
    </row>
    <row r="496" spans="1:12">
      <c r="A496" t="s">
        <v>906</v>
      </c>
      <c r="B496" s="1" t="s">
        <v>907</v>
      </c>
      <c r="C496" t="s">
        <v>378</v>
      </c>
      <c r="D496" t="s">
        <v>18</v>
      </c>
      <c r="E496" t="s">
        <v>19</v>
      </c>
      <c r="F496">
        <v>5</v>
      </c>
      <c r="G496">
        <v>887.75</v>
      </c>
      <c r="H496">
        <v>4438.75</v>
      </c>
      <c r="I496" t="s">
        <v>31</v>
      </c>
      <c r="J496">
        <f xml:space="preserve"> Sales_Data[[#This Row],[Quantity]] * Sales_Data[[#This Row],[Price]]</f>
        <v>4438.75</v>
      </c>
      <c r="K496" t="str">
        <f>TEXT(Sales_Data[[#This Row],[Order Date]],"MMM")</f>
        <v>Aug</v>
      </c>
      <c r="L496">
        <f>YEAR(Sales_Data[[#This Row],[Order Date]])</f>
        <v>2023</v>
      </c>
    </row>
    <row r="497" spans="1:12">
      <c r="A497" t="s">
        <v>908</v>
      </c>
      <c r="B497" s="1" t="s">
        <v>909</v>
      </c>
      <c r="C497" t="s">
        <v>65</v>
      </c>
      <c r="D497" t="s">
        <v>59</v>
      </c>
      <c r="E497" t="s">
        <v>40</v>
      </c>
      <c r="F497">
        <v>5</v>
      </c>
      <c r="G497">
        <v>292.10000000000002</v>
      </c>
      <c r="H497">
        <v>1460.5</v>
      </c>
      <c r="I497" t="s">
        <v>47</v>
      </c>
      <c r="J497">
        <f xml:space="preserve"> Sales_Data[[#This Row],[Quantity]] * Sales_Data[[#This Row],[Price]]</f>
        <v>1460.5</v>
      </c>
      <c r="K497" t="str">
        <f>TEXT(Sales_Data[[#This Row],[Order Date]],"MMM")</f>
        <v>Feb</v>
      </c>
      <c r="L497">
        <f>YEAR(Sales_Data[[#This Row],[Order Date]])</f>
        <v>2023</v>
      </c>
    </row>
    <row r="498" spans="1:12">
      <c r="A498" t="s">
        <v>910</v>
      </c>
      <c r="B498" s="1" t="s">
        <v>911</v>
      </c>
      <c r="C498" t="s">
        <v>361</v>
      </c>
      <c r="D498" t="s">
        <v>35</v>
      </c>
      <c r="E498" t="s">
        <v>13</v>
      </c>
      <c r="F498">
        <v>2</v>
      </c>
      <c r="G498">
        <v>816.2</v>
      </c>
      <c r="H498">
        <v>1632.4</v>
      </c>
      <c r="I498" t="s">
        <v>47</v>
      </c>
      <c r="J498">
        <f xml:space="preserve"> Sales_Data[[#This Row],[Quantity]] * Sales_Data[[#This Row],[Price]]</f>
        <v>1632.4</v>
      </c>
      <c r="K498" t="str">
        <f>TEXT(Sales_Data[[#This Row],[Order Date]],"MMM")</f>
        <v>Jan</v>
      </c>
      <c r="L498">
        <f>YEAR(Sales_Data[[#This Row],[Order Date]])</f>
        <v>2023</v>
      </c>
    </row>
    <row r="499" spans="1:12">
      <c r="A499" t="s">
        <v>912</v>
      </c>
      <c r="B499" s="1" t="s">
        <v>913</v>
      </c>
      <c r="C499" t="s">
        <v>290</v>
      </c>
      <c r="D499" t="s">
        <v>35</v>
      </c>
      <c r="E499" t="s">
        <v>13</v>
      </c>
      <c r="F499">
        <v>2</v>
      </c>
      <c r="G499">
        <v>788</v>
      </c>
      <c r="H499">
        <v>1576</v>
      </c>
      <c r="I499" t="s">
        <v>23</v>
      </c>
      <c r="J499">
        <f xml:space="preserve"> Sales_Data[[#This Row],[Quantity]] * Sales_Data[[#This Row],[Price]]</f>
        <v>1576</v>
      </c>
      <c r="K499" t="str">
        <f>TEXT(Sales_Data[[#This Row],[Order Date]],"MMM")</f>
        <v>Oct</v>
      </c>
      <c r="L499">
        <f>YEAR(Sales_Data[[#This Row],[Order Date]])</f>
        <v>2023</v>
      </c>
    </row>
    <row r="500" spans="1:12">
      <c r="A500" t="s">
        <v>914</v>
      </c>
      <c r="B500" s="1" t="s">
        <v>155</v>
      </c>
      <c r="C500" t="s">
        <v>403</v>
      </c>
      <c r="D500" t="s">
        <v>18</v>
      </c>
      <c r="E500" t="s">
        <v>19</v>
      </c>
      <c r="F500">
        <v>5</v>
      </c>
      <c r="G500">
        <v>1706.97</v>
      </c>
      <c r="H500">
        <v>8534.85</v>
      </c>
      <c r="I500" t="s">
        <v>31</v>
      </c>
      <c r="J500">
        <f xml:space="preserve"> Sales_Data[[#This Row],[Quantity]] * Sales_Data[[#This Row],[Price]]</f>
        <v>8534.85</v>
      </c>
      <c r="K500" t="str">
        <f>TEXT(Sales_Data[[#This Row],[Order Date]],"MMM")</f>
        <v>May</v>
      </c>
      <c r="L500">
        <f>YEAR(Sales_Data[[#This Row],[Order Date]])</f>
        <v>2023</v>
      </c>
    </row>
    <row r="501" spans="1:12">
      <c r="A501" t="s">
        <v>915</v>
      </c>
      <c r="B501" s="1" t="s">
        <v>54</v>
      </c>
      <c r="C501" t="s">
        <v>403</v>
      </c>
      <c r="D501" t="s">
        <v>35</v>
      </c>
      <c r="E501" t="s">
        <v>13</v>
      </c>
      <c r="F501">
        <v>5</v>
      </c>
      <c r="G501">
        <v>1586.67</v>
      </c>
      <c r="H501">
        <v>7933.35</v>
      </c>
      <c r="I501" t="s">
        <v>47</v>
      </c>
      <c r="J501">
        <f xml:space="preserve"> Sales_Data[[#This Row],[Quantity]] * Sales_Data[[#This Row],[Price]]</f>
        <v>7933.35</v>
      </c>
      <c r="K501" t="str">
        <f>TEXT(Sales_Data[[#This Row],[Order Date]],"MMM")</f>
        <v>Dec</v>
      </c>
      <c r="L501">
        <f>YEAR(Sales_Data[[#This Row],[Order Date]])</f>
        <v>2023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9513-08D1-4CE9-881E-202C61A7DE48}">
  <dimension ref="A1:B7"/>
  <sheetViews>
    <sheetView workbookViewId="0">
      <selection activeCell="E30" sqref="E30"/>
    </sheetView>
  </sheetViews>
  <sheetFormatPr defaultRowHeight="14.4"/>
  <cols>
    <col min="1" max="1" width="23.77734375" bestFit="1" customWidth="1"/>
    <col min="2" max="2" width="11" bestFit="1" customWidth="1"/>
  </cols>
  <sheetData>
    <row r="1" spans="1:2">
      <c r="A1" s="2"/>
    </row>
    <row r="2" spans="1:2">
      <c r="A2" s="2" t="s">
        <v>924</v>
      </c>
      <c r="B2" t="s">
        <v>925</v>
      </c>
    </row>
    <row r="3" spans="1:2">
      <c r="A3" s="2" t="s">
        <v>920</v>
      </c>
      <c r="B3">
        <f>SUM(Sales_Data[Revenue])</f>
        <v>1576075.2599999995</v>
      </c>
    </row>
    <row r="4" spans="1:2">
      <c r="A4" s="2" t="s">
        <v>919</v>
      </c>
      <c r="B4">
        <f>COUNTA(Sales_Data[Order ID])</f>
        <v>500</v>
      </c>
    </row>
    <row r="5" spans="1:2">
      <c r="A5" s="2" t="s">
        <v>921</v>
      </c>
      <c r="B5">
        <f>COUNTA(_xlfn.UNIQUE(Sales_Data[Customer ID]))</f>
        <v>119</v>
      </c>
    </row>
    <row r="6" spans="1:2">
      <c r="A6" s="2" t="s">
        <v>923</v>
      </c>
      <c r="B6">
        <f xml:space="preserve"> B3 / B4</f>
        <v>3152.1505199999992</v>
      </c>
    </row>
    <row r="7" spans="1:2">
      <c r="A7" s="2" t="s">
        <v>922</v>
      </c>
      <c r="B7">
        <f>COUNTA(_xlfn.UNIQUE(Sales_Data[Customer ID]))</f>
        <v>119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4A18-1B88-47DE-A985-6EC73B120E12}">
  <dimension ref="A1:C79"/>
  <sheetViews>
    <sheetView topLeftCell="A71" workbookViewId="0">
      <selection activeCell="A82" sqref="A82"/>
    </sheetView>
  </sheetViews>
  <sheetFormatPr defaultRowHeight="14.4"/>
  <cols>
    <col min="1" max="1" width="14.88671875" bestFit="1" customWidth="1"/>
    <col min="2" max="2" width="15.88671875" bestFit="1" customWidth="1"/>
    <col min="5" max="6" width="26.21875" bestFit="1" customWidth="1"/>
  </cols>
  <sheetData>
    <row r="1" spans="1:2">
      <c r="A1" s="3" t="s">
        <v>926</v>
      </c>
      <c r="B1" t="s">
        <v>928</v>
      </c>
    </row>
    <row r="2" spans="1:2">
      <c r="A2" s="4">
        <v>2023</v>
      </c>
      <c r="B2" s="7">
        <v>1442514.06</v>
      </c>
    </row>
    <row r="3" spans="1:2">
      <c r="A3" s="5" t="s">
        <v>929</v>
      </c>
      <c r="B3" s="7">
        <v>95029.06</v>
      </c>
    </row>
    <row r="4" spans="1:2">
      <c r="A4" s="5" t="s">
        <v>930</v>
      </c>
      <c r="B4" s="7">
        <v>143256.63999999998</v>
      </c>
    </row>
    <row r="5" spans="1:2">
      <c r="A5" s="5" t="s">
        <v>931</v>
      </c>
      <c r="B5" s="7">
        <v>117686.25999999997</v>
      </c>
    </row>
    <row r="6" spans="1:2">
      <c r="A6" s="5" t="s">
        <v>932</v>
      </c>
      <c r="B6" s="7">
        <v>156888.15000000002</v>
      </c>
    </row>
    <row r="7" spans="1:2">
      <c r="A7" s="5" t="s">
        <v>933</v>
      </c>
      <c r="B7" s="7">
        <v>143507.14000000001</v>
      </c>
    </row>
    <row r="8" spans="1:2">
      <c r="A8" s="5" t="s">
        <v>934</v>
      </c>
      <c r="B8" s="7">
        <v>139446.67000000001</v>
      </c>
    </row>
    <row r="9" spans="1:2">
      <c r="A9" s="5" t="s">
        <v>935</v>
      </c>
      <c r="B9" s="7">
        <v>101637.45000000004</v>
      </c>
    </row>
    <row r="10" spans="1:2">
      <c r="A10" s="5" t="s">
        <v>936</v>
      </c>
      <c r="B10" s="7">
        <v>166405.82999999999</v>
      </c>
    </row>
    <row r="11" spans="1:2">
      <c r="A11" s="5" t="s">
        <v>937</v>
      </c>
      <c r="B11" s="7">
        <v>151110.65000000002</v>
      </c>
    </row>
    <row r="12" spans="1:2">
      <c r="A12" s="5" t="s">
        <v>938</v>
      </c>
      <c r="B12" s="7">
        <v>93037.989999999991</v>
      </c>
    </row>
    <row r="13" spans="1:2">
      <c r="A13" s="5" t="s">
        <v>939</v>
      </c>
      <c r="B13" s="7">
        <v>134508.22000000003</v>
      </c>
    </row>
    <row r="14" spans="1:2">
      <c r="A14" s="4" t="s">
        <v>927</v>
      </c>
      <c r="B14" s="7">
        <v>1442514.06</v>
      </c>
    </row>
    <row r="20" spans="1:2">
      <c r="A20" s="3" t="s">
        <v>926</v>
      </c>
      <c r="B20" t="s">
        <v>928</v>
      </c>
    </row>
    <row r="21" spans="1:2">
      <c r="A21" s="4" t="s">
        <v>52</v>
      </c>
      <c r="B21" s="7">
        <v>583459.87000000011</v>
      </c>
    </row>
    <row r="22" spans="1:2">
      <c r="A22" s="4" t="s">
        <v>19</v>
      </c>
      <c r="B22" s="7">
        <v>375887.66999999993</v>
      </c>
    </row>
    <row r="23" spans="1:2">
      <c r="A23" s="4" t="s">
        <v>13</v>
      </c>
      <c r="B23" s="7">
        <v>338766.58999999991</v>
      </c>
    </row>
    <row r="24" spans="1:2">
      <c r="A24" s="4" t="s">
        <v>40</v>
      </c>
      <c r="B24" s="7">
        <v>277961.13</v>
      </c>
    </row>
    <row r="25" spans="1:2">
      <c r="A25" s="4" t="s">
        <v>927</v>
      </c>
      <c r="B25" s="7">
        <v>1576075.2599999998</v>
      </c>
    </row>
    <row r="37" spans="1:2">
      <c r="A37" s="3" t="s">
        <v>926</v>
      </c>
      <c r="B37" t="s">
        <v>928</v>
      </c>
    </row>
    <row r="38" spans="1:2">
      <c r="A38" s="4" t="s">
        <v>23</v>
      </c>
      <c r="B38" s="7">
        <v>404562.28999999992</v>
      </c>
    </row>
    <row r="39" spans="1:2">
      <c r="A39" s="4" t="s">
        <v>14</v>
      </c>
      <c r="B39" s="7">
        <v>403924.39000000025</v>
      </c>
    </row>
    <row r="40" spans="1:2">
      <c r="A40" s="4" t="s">
        <v>31</v>
      </c>
      <c r="B40" s="7">
        <v>383859.55</v>
      </c>
    </row>
    <row r="41" spans="1:2">
      <c r="A41" s="4" t="s">
        <v>47</v>
      </c>
      <c r="B41" s="7">
        <v>383729.02999999991</v>
      </c>
    </row>
    <row r="42" spans="1:2">
      <c r="A42" s="4" t="s">
        <v>927</v>
      </c>
      <c r="B42" s="7">
        <v>1576075.26</v>
      </c>
    </row>
    <row r="52" spans="1:2">
      <c r="A52" s="3" t="s">
        <v>926</v>
      </c>
      <c r="B52" t="s">
        <v>928</v>
      </c>
    </row>
    <row r="53" spans="1:2">
      <c r="A53" s="4" t="s">
        <v>118</v>
      </c>
      <c r="B53" s="7">
        <v>21808.640000000003</v>
      </c>
    </row>
    <row r="54" spans="1:2">
      <c r="A54" s="4" t="s">
        <v>386</v>
      </c>
      <c r="B54" s="7">
        <v>22324.13</v>
      </c>
    </row>
    <row r="55" spans="1:2">
      <c r="A55" s="4" t="s">
        <v>22</v>
      </c>
      <c r="B55" s="7">
        <v>22618.83</v>
      </c>
    </row>
    <row r="56" spans="1:2">
      <c r="A56" s="4" t="s">
        <v>93</v>
      </c>
      <c r="B56" s="7">
        <v>24726.329999999998</v>
      </c>
    </row>
    <row r="57" spans="1:2">
      <c r="A57" s="4" t="s">
        <v>183</v>
      </c>
      <c r="B57" s="7">
        <v>24917.920000000002</v>
      </c>
    </row>
    <row r="58" spans="1:2">
      <c r="A58" s="4" t="s">
        <v>353</v>
      </c>
      <c r="B58" s="7">
        <v>26100.530000000002</v>
      </c>
    </row>
    <row r="59" spans="1:2">
      <c r="A59" s="4" t="s">
        <v>102</v>
      </c>
      <c r="B59" s="7">
        <v>31593.420000000002</v>
      </c>
    </row>
    <row r="60" spans="1:2">
      <c r="A60" s="4" t="s">
        <v>276</v>
      </c>
      <c r="B60" s="7">
        <v>36952.53</v>
      </c>
    </row>
    <row r="61" spans="1:2">
      <c r="A61" s="4" t="s">
        <v>403</v>
      </c>
      <c r="B61" s="7">
        <v>37946.43</v>
      </c>
    </row>
    <row r="62" spans="1:2">
      <c r="A62" s="4" t="s">
        <v>177</v>
      </c>
      <c r="B62" s="7">
        <v>41586.28</v>
      </c>
    </row>
    <row r="63" spans="1:2">
      <c r="A63" s="4" t="s">
        <v>927</v>
      </c>
      <c r="B63" s="7">
        <v>290575.04000000004</v>
      </c>
    </row>
    <row r="69" spans="1:3">
      <c r="A69" t="s">
        <v>928</v>
      </c>
    </row>
    <row r="70" spans="1:3">
      <c r="A70" s="7">
        <v>1576075.2599999995</v>
      </c>
    </row>
    <row r="72" spans="1:3">
      <c r="A72" t="s">
        <v>940</v>
      </c>
    </row>
    <row r="73" spans="1:3">
      <c r="A73" s="7">
        <v>500</v>
      </c>
    </row>
    <row r="78" spans="1:3">
      <c r="A78" t="s">
        <v>928</v>
      </c>
      <c r="B78" t="s">
        <v>940</v>
      </c>
    </row>
    <row r="79" spans="1:3">
      <c r="A79" s="7">
        <v>1576075.2599999995</v>
      </c>
      <c r="B79" s="7">
        <v>500</v>
      </c>
      <c r="C79">
        <f>GETPIVOTDATA("Sum of Revenue",$A$78)/Calculations!B4</f>
        <v>3152.1505199999992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2184-C6F7-4754-87E0-231AFA9133B6}">
  <dimension ref="A3:A4"/>
  <sheetViews>
    <sheetView workbookViewId="0">
      <selection activeCell="A4" sqref="A3:A4"/>
    </sheetView>
  </sheetViews>
  <sheetFormatPr defaultRowHeight="14.4"/>
  <cols>
    <col min="1" max="1" width="26.21875" bestFit="1" customWidth="1"/>
  </cols>
  <sheetData>
    <row r="3" spans="1:1">
      <c r="A3" t="s">
        <v>941</v>
      </c>
    </row>
    <row r="4" spans="1:1">
      <c r="A4" s="7">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8C2A-4A70-4C09-AB4E-DC6456E01EE0}">
  <dimension ref="C11:M12"/>
  <sheetViews>
    <sheetView showGridLines="0" showRowColHeaders="0" tabSelected="1" topLeftCell="A4" zoomScale="60" zoomScaleNormal="60" workbookViewId="0">
      <selection activeCell="AB25" sqref="AB25"/>
    </sheetView>
  </sheetViews>
  <sheetFormatPr defaultRowHeight="14.4"/>
  <cols>
    <col min="3" max="3" width="26.21875" bestFit="1" customWidth="1"/>
    <col min="4" max="4" width="24.21875" bestFit="1" customWidth="1"/>
    <col min="12" max="13" width="16.77734375" bestFit="1" customWidth="1"/>
  </cols>
  <sheetData>
    <row r="11" spans="3:13" ht="25.8">
      <c r="E11" s="6"/>
      <c r="I11" s="6"/>
      <c r="M11" s="6"/>
    </row>
    <row r="12" spans="3:13" ht="25.8">
      <c r="C12" s="10">
        <f>GETPIVOTDATA("Revenue",Pivot_Tables!$A$69)</f>
        <v>1576075.2599999995</v>
      </c>
      <c r="D12" s="6">
        <f>GETPIVOTDATA("Order ID",Pivot_Tables!$A$72)</f>
        <v>500</v>
      </c>
      <c r="F12" s="8"/>
      <c r="G12" s="7"/>
      <c r="H12" s="6">
        <f>GETPIVOTDATA("[Measures].[Distinct Count of Customer ID]",Sheet4!$A$3)</f>
        <v>119</v>
      </c>
      <c r="L12" s="9">
        <f>GETPIVOTDATA("Sum of Revenue",Pivot_Tables!$A$78)/GETPIVOTDATA("Count of Order ID",Pivot_Tables!$A$78)</f>
        <v>3152.1505199999992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Calculations</vt:lpstr>
      <vt:lpstr>Pivot_Tables</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Naznin Bhom</cp:lastModifiedBy>
  <dcterms:created xsi:type="dcterms:W3CDTF">2026-04-22T08:45:09Z</dcterms:created>
  <dcterms:modified xsi:type="dcterms:W3CDTF">2026-04-25T09:44:20Z</dcterms:modified>
</cp:coreProperties>
</file>